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drawings/drawing2.xml" ContentType="application/vnd.openxmlformats-officedocument.drawing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dg256\Demo_S012_Vonline\test~~44779f20-247c-47d6-afcf-435f6584f567~~080426_192716\"/>
    </mc:Choice>
  </mc:AlternateContent>
  <bookViews>
    <workbookView xWindow="105" yWindow="135" windowWidth="28695" windowHeight="15345" tabRatio="901" activeTab="4"/>
  </bookViews>
  <sheets>
    <sheet name="EB2" sheetId="133" r:id="rId3"/>
    <sheet name="RES_TRA" sheetId="153" r:id="rId4"/>
    <sheet name="Sector_Fuels_TRA" sheetId="152" r:id="rId5"/>
    <sheet name="DemTechs_TRA" sheetId="141" r:id="rId6"/>
    <sheet name="Demands" sheetId="134" r:id="rId7"/>
    <sheet name="Emi" sheetId="149" r:id="rId8"/>
  </sheets>
  <externalReferences>
    <externalReference r:id="rId10"/>
    <externalReference r:id="rId11"/>
  </externalReferences>
  <definedNames>
    <definedName name="FID_1">[1]AGR_Fuels!$A$2</definedName>
  </definedNames>
  <calcPr fullCalcOnLoad="1" iterate="1" iterateCount="100" iterateDelta="0.001"/>
</workbook>
</file>

<file path=xl/calcChain.xml><?xml version="1.0" encoding="utf-8"?>
<calcChain xmlns="http://schemas.openxmlformats.org/spreadsheetml/2006/main">
  <c r="B2" i="14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rFont val="Tahoma"/>
            <family val="2"/>
          </rPr>
          <t>Includes fisheries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U10" authorId="2" shapeId="0" xr:uid="{00000000-0006-0000-0300-000006000000}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V10" authorId="1" shapeId="0" xr:uid="{00000000-0006-0000-03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W10" authorId="2" shapeId="0" xr:uid="{00000000-0006-0000-0300-000008000000}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O11" authorId="2" shapeId="0" xr:uid="{00000000-0006-0000-0300-000009000000}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<sst xmlns="http://schemas.openxmlformats.org/spreadsheetml/2006/main" count="339" uniqueCount="186">
  <si>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</si>
  <si>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</si>
  <si>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</si>
  <si>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</si>
  <si>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</si>
  <si>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</si>
  <si>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</si>
  <si>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</si>
  <si>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</si>
  <si>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</si>
  <si>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</si>
  <si>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</si>
  <si>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</si>
  <si>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</si>
  <si>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</si>
  <si>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</si>
  <si>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</si>
  <si>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</si>
  <si>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</si>
  <si>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</si>
  <si>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</si>
  <si>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</si>
  <si>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</si>
  <si>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</si>
  <si>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</si>
  <si>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</si>
  <si>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</si>
  <si>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</si>
  <si>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</si>
  <si>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</si>
  <si>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</si>
  <si>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</si>
  <si>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</si>
  <si>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</si>
  <si>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</si>
  <si>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</si>
  <si>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</si>
  <si>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</si>
  <si>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</si>
  <si>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</si>
  <si>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</si>
  <si>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</si>
  <si>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</si>
  <si>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</si>
  <si>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</si>
  <si>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</si>
  <si>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</si>
  <si>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</si>
  <si>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</si>
  <si>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</si>
  <si>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</si>
  <si>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</si>
  <si>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</si>
  <si>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</si>
  <si>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</si>
  <si>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</si>
  <si>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</si>
  <si>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</si>
  <si>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</si>
  <si>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</si>
  <si>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</si>
  <si>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</si>
  <si>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</si>
  <si>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</si>
  <si>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</si>
  <si>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</si>
  <si>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</si>
  <si>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</si>
  <si>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</si>
  <si>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</si>
  <si>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</si>
  <si>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</si>
  <si>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</si>
  <si>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</si>
  <si>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</si>
  <si>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</si>
  <si>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</si>
  <si>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</si>
  <si>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</si>
  <si>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</si>
  <si>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</si>
  <si>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</si>
  <si>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</si>
  <si>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</si>
  <si>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</si>
  <si>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</si>
  <si>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</si>
  <si>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</si>
  <si>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</si>
  <si>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</si>
  <si>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</si>
  <si>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</si>
  <si>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</si>
  <si>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</si>
  <si>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</si>
  <si>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</si>
  <si>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</si>
  <si>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</si>
  <si>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</si>
  <si>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</si>
  <si>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</si>
  <si>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</si>
  <si>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</si>
  <si>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</si>
  <si>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</si>
  <si>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</si>
  <si>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</si>
  <si>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</si>
  <si>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</si>
  <si>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</si>
  <si>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</si>
  <si>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</si>
  <si>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</si>
  <si>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</si>
  <si>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</si>
  <si>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</si>
  <si>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Break-out by end-use</t>
  </si>
  <si>
    <t>Emission by sector</t>
  </si>
  <si>
    <t>CALIBRATION</t>
  </si>
  <si>
    <t>Timeslices</t>
  </si>
  <si>
    <t>COM_FR</t>
  </si>
  <si>
    <t>SD</t>
  </si>
  <si>
    <t>SN</t>
  </si>
  <si>
    <t>WD</t>
  </si>
  <si>
    <t>WN</t>
  </si>
  <si>
    <t>DAYNITE</t>
  </si>
  <si>
    <t>REG2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</si>
  <si>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</si>
  <si>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</si>
  <si>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</si>
  <si>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</si>
  <si>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</si>
  <si>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</si>
  <si>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</si>
  <si>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</si>
  <si>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</si>
  <si>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</si>
  <si>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</si>
  <si>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</si>
  <si>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</si>
  <si>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</si>
  <si>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</si>
  <si>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Cars</t>
  </si>
  <si>
    <t>Capacity</t>
  </si>
  <si>
    <t>000_Units</t>
  </si>
  <si>
    <t>DEMO</t>
  </si>
  <si>
    <t>ACTFLO~DEMO</t>
  </si>
  <si>
    <t>Passenger/Car</t>
  </si>
  <si>
    <t>Activity to Flo</t>
  </si>
  <si>
    <t>Dynamic coefficients for combustion emissions in transport</t>
  </si>
  <si>
    <t>~COMEMI</t>
  </si>
  <si>
    <t>'000 km</t>
  </si>
  <si>
    <t>*Unit</t>
  </si>
  <si>
    <t>Demand Unit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</si>
  <si>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</si>
  <si>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</si>
  <si>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</si>
  <si>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</si>
  <si>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</si>
  <si>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</si>
  <si>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</si>
  <si>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</si>
  <si>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</si>
  <si>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Pub</t>
  </si>
  <si>
    <t>CAR</t>
  </si>
  <si>
    <t>PUB</t>
  </si>
  <si>
    <t>TOT</t>
  </si>
  <si>
    <t>Transport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</si>
  <si>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</si>
  <si>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</si>
  <si>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</si>
  <si>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</si>
  <si>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</si>
  <si>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</si>
  <si>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</si>
  <si>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</si>
  <si>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Biofuels</t>
  </si>
  <si>
    <t>Lifetime</t>
  </si>
  <si>
    <t>CAP2ACT</t>
  </si>
  <si>
    <t>Capacity to Activity Factor</t>
  </si>
  <si>
    <t>BV*km/PJ</t>
  </si>
  <si>
    <t>bvkm/mvkm</t>
  </si>
  <si>
    <t>BPass*km</t>
  </si>
  <si>
    <t>BPkm</t>
  </si>
  <si>
    <t>Bpass*km</t>
  </si>
  <si>
    <t>sadfads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</si>
</sst>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General_)"/>
    <numFmt numFmtId="167" formatCode="\Te\x\t"/>
  </numFmts>
  <fonts count="24">
    <font>
      <sz val="10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ahoma"/>
      <family val="2"/>
    </font>
    <font>
      <sz val="14"/>
      <color indexed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0003962517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3" tint="0.799979984760284"/>
        <bgColor indexed="64"/>
      </patternFill>
    </fill>
    <fill>
      <patternFill patternType="solid">
        <fgColor theme="9" tint="0.599990010261536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medium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/>
    </border>
    <border>
      <left/>
      <right style="thin">
        <color auto="1"/>
      </right>
      <top style="thin">
        <color auto="1"/>
      </top>
      <bottom/>
    </border>
  </borders>
  <cellStyleXfs count="4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1" applyNumberFormat="0" applyAlignment="0" applyProtection="0"/>
    <xf numFmtId="164" fontId="11" fillId="0" borderId="0" applyFont="0" applyFill="0" applyBorder="0" applyAlignment="0" applyProtection="0"/>
    <xf numFmtId="0" fontId="14" fillId="8" borderId="0" applyNumberFormat="0" applyBorder="0" applyAlignment="0" applyProtection="0"/>
    <xf numFmtId="0" fontId="15" fillId="9" borderId="1" applyNumberFormat="0" applyAlignment="0" applyProtection="0"/>
    <xf numFmtId="0" fontId="16" fillId="10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</cellStyleXfs>
  <cellXfs count="125">
    <xf numFmtId="0" fontId="0" fillId="0" borderId="0" xfId="0"/>
    <xf numFmtId="0" fontId="0" fillId="0" borderId="0" xfId="0" applyFont="1"/>
    <xf numFmtId="0" fontId="3" fillId="11" borderId="2" xfId="0" applyFont="1" applyFill="1" applyBorder="1" applyAlignment="1">
      <alignment vertical="center"/>
    </xf>
    <xf numFmtId="0" fontId="4" fillId="0" borderId="0" xfId="0" applyFont="1"/>
    <xf numFmtId="0" fontId="0" fillId="0" borderId="0" xfId="32" applyAlignment="1">
      <alignment horizontal="right"/>
      <protection/>
    </xf>
    <xf numFmtId="0" fontId="4" fillId="0" borderId="0" xfId="32" applyFont="1" applyAlignment="1">
      <alignment horizontal="left"/>
      <protection/>
    </xf>
    <xf numFmtId="0" fontId="0" fillId="0" borderId="3" xfId="0" applyBorder="1"/>
    <xf numFmtId="1" fontId="0" fillId="0" borderId="0" xfId="0" applyNumberFormat="1"/>
    <xf numFmtId="0" fontId="12" fillId="6" borderId="0" xfId="24"/>
    <xf numFmtId="0" fontId="17" fillId="0" borderId="0" xfId="27" applyFont="1" applyFill="1"/>
    <xf numFmtId="0" fontId="17" fillId="12" borderId="0" xfId="27" applyFont="1" applyFill="1"/>
    <xf numFmtId="0" fontId="0" fillId="0" borderId="0" xfId="29" applyFont="1" applyFill="1"/>
    <xf numFmtId="1" fontId="0" fillId="0" borderId="0" xfId="0" applyNumberFormat="1" applyFont="1"/>
    <xf numFmtId="0" fontId="18" fillId="2" borderId="4" xfId="20" applyFont="1" applyBorder="1" applyAlignment="1">
      <alignment horizontal="center" wrapText="1"/>
    </xf>
    <xf numFmtId="0" fontId="19" fillId="0" borderId="0" xfId="0" applyFont="1"/>
    <xf numFmtId="0" fontId="18" fillId="2" borderId="4" xfId="20" applyFont="1" applyBorder="1" applyAlignment="1">
      <alignment horizontal="left" wrapText="1"/>
    </xf>
    <xf numFmtId="0" fontId="18" fillId="2" borderId="2" xfId="20" applyFont="1" applyBorder="1" applyAlignment="1">
      <alignment horizontal="left" wrapText="1"/>
    </xf>
    <xf numFmtId="0" fontId="3" fillId="11" borderId="2" xfId="32" applyFont="1" applyFill="1" applyBorder="1" applyAlignment="1">
      <alignment horizontal="left" vertical="center"/>
      <protection/>
    </xf>
    <xf numFmtId="0" fontId="17" fillId="12" borderId="0" xfId="27" applyFont="1" applyFill="1" applyAlignment="1">
      <alignment wrapText="1"/>
    </xf>
    <xf numFmtId="0" fontId="0" fillId="0" borderId="0" xfId="0" applyAlignment="1">
      <alignment wrapText="1"/>
    </xf>
    <xf numFmtId="0" fontId="20" fillId="0" borderId="0" xfId="0" applyFont="1"/>
    <xf numFmtId="9" fontId="19" fillId="0" borderId="0" xfId="15" applyFont="1" applyBorder="1" applyAlignment="1">
      <alignment/>
    </xf>
    <xf numFmtId="0" fontId="3" fillId="0" borderId="0" xfId="0" applyFont="1"/>
    <xf numFmtId="0" fontId="0" fillId="0" borderId="0" xfId="30">
      <alignment/>
      <protection/>
    </xf>
    <xf numFmtId="0" fontId="0" fillId="0" borderId="0" xfId="30" applyAlignment="1">
      <alignment wrapText="1"/>
      <protection/>
    </xf>
    <xf numFmtId="0" fontId="3" fillId="0" borderId="0" xfId="32" applyFont="1" applyAlignment="1">
      <alignment horizontal="right" vertical="center" wrapText="1"/>
      <protection/>
    </xf>
    <xf numFmtId="1" fontId="0" fillId="0" borderId="0" xfId="30" applyNumberFormat="1">
      <alignment/>
      <protection/>
    </xf>
    <xf numFmtId="0" fontId="0" fillId="0" borderId="3" xfId="0" applyFont="1" applyBorder="1"/>
    <xf numFmtId="0" fontId="0" fillId="0" borderId="3" xfId="30" applyBorder="1">
      <alignment/>
      <protection/>
    </xf>
    <xf numFmtId="1" fontId="1" fillId="13" borderId="0" xfId="21" applyNumberFormat="1" applyFont="1" applyFill="1" applyBorder="1" applyAlignment="1">
      <alignment horizontal="right" wrapText="1"/>
    </xf>
    <xf numFmtId="0" fontId="12" fillId="0" borderId="0" xfId="24" applyFill="1"/>
    <xf numFmtId="0" fontId="17" fillId="12" borderId="0" xfId="27" applyFont="1" applyFill="1" quotePrefix="1"/>
    <xf numFmtId="0" fontId="18" fillId="0" borderId="0" xfId="20" applyFont="1" applyFill="1" applyBorder="1" applyAlignment="1">
      <alignment horizontal="right" wrapText="1"/>
    </xf>
    <xf numFmtId="0" fontId="4" fillId="0" borderId="0" xfId="0" applyFont="1" applyAlignment="1">
      <alignment horizontal="left"/>
    </xf>
    <xf numFmtId="0" fontId="10" fillId="0" borderId="0" xfId="0" applyFont="1"/>
    <xf numFmtId="0" fontId="10" fillId="14" borderId="0" xfId="0" applyFont="1" applyFill="1" quotePrefix="1"/>
    <xf numFmtId="0" fontId="10" fillId="0" borderId="0" xfId="0" applyFont="1" quotePrefix="1"/>
    <xf numFmtId="0" fontId="3" fillId="0" borderId="0" xfId="32" applyFont="1" applyAlignment="1">
      <alignment horizontal="left" vertical="center"/>
      <protection/>
    </xf>
    <xf numFmtId="0" fontId="3" fillId="11" borderId="4" xfId="32" applyFont="1" applyFill="1" applyBorder="1" applyAlignment="1">
      <alignment horizontal="left" vertical="center"/>
      <protection/>
    </xf>
    <xf numFmtId="0" fontId="21" fillId="0" borderId="0" xfId="0" applyFont="1"/>
    <xf numFmtId="0" fontId="17" fillId="12" borderId="0" xfId="27" applyFont="1" applyFill="1" applyAlignment="1">
      <alignment horizontal="left"/>
    </xf>
    <xf numFmtId="0" fontId="21" fillId="15" borderId="3" xfId="0" applyFont="1" applyFill="1" applyBorder="1" applyAlignment="1">
      <alignment wrapText="1"/>
    </xf>
    <xf numFmtId="0" fontId="3" fillId="15" borderId="3" xfId="0" applyFont="1" applyFill="1" applyBorder="1" applyAlignment="1">
      <alignment wrapText="1"/>
    </xf>
    <xf numFmtId="0" fontId="21" fillId="15" borderId="0" xfId="0" applyFont="1" applyFill="1"/>
    <xf numFmtId="0" fontId="0" fillId="16" borderId="0" xfId="0" applyFill="1"/>
    <xf numFmtId="166" fontId="8" fillId="17" borderId="3" xfId="0" applyNumberFormat="1" applyFont="1" applyFill="1" applyBorder="1" applyAlignment="1">
      <alignment horizontal="left" vertical="center"/>
    </xf>
    <xf numFmtId="1" fontId="0" fillId="17" borderId="3" xfId="0" applyNumberFormat="1" applyFill="1" applyBorder="1"/>
    <xf numFmtId="1" fontId="15" fillId="9" borderId="0" xfId="28" applyNumberFormat="1" applyBorder="1" applyAlignment="1">
      <alignment/>
    </xf>
    <xf numFmtId="1" fontId="13" fillId="7" borderId="5" xfId="25" applyNumberFormat="1" applyBorder="1" applyAlignment="1">
      <alignment horizontal="right"/>
    </xf>
    <xf numFmtId="1" fontId="13" fillId="7" borderId="6" xfId="25" applyNumberFormat="1" applyBorder="1" applyAlignment="1">
      <alignment horizontal="right"/>
    </xf>
    <xf numFmtId="166" fontId="13" fillId="7" borderId="7" xfId="25" applyNumberFormat="1" applyBorder="1" applyAlignment="1">
      <alignment horizontal="right" vertical="center"/>
    </xf>
    <xf numFmtId="166" fontId="8" fillId="17" borderId="8" xfId="0" applyNumberFormat="1" applyFont="1" applyFill="1" applyBorder="1" applyAlignment="1">
      <alignment horizontal="left" vertical="center"/>
    </xf>
    <xf numFmtId="166" fontId="8" fillId="17" borderId="9" xfId="0" applyNumberFormat="1" applyFont="1" applyFill="1" applyBorder="1" applyAlignment="1">
      <alignment horizontal="left" vertical="center"/>
    </xf>
    <xf numFmtId="166" fontId="8" fillId="17" borderId="10" xfId="0" applyNumberFormat="1" applyFont="1" applyFill="1" applyBorder="1" applyAlignment="1">
      <alignment horizontal="left" vertical="center"/>
    </xf>
    <xf numFmtId="166" fontId="8" fillId="17" borderId="11" xfId="0" applyNumberFormat="1" applyFont="1" applyFill="1" applyBorder="1" applyAlignment="1">
      <alignment horizontal="left" vertical="center"/>
    </xf>
    <xf numFmtId="166" fontId="8" fillId="17" borderId="2" xfId="0" applyNumberFormat="1" applyFont="1" applyFill="1" applyBorder="1" applyAlignment="1">
      <alignment horizontal="left" vertical="center"/>
    </xf>
    <xf numFmtId="166" fontId="8" fillId="17" borderId="12" xfId="0" applyNumberFormat="1" applyFont="1" applyFill="1" applyBorder="1" applyAlignment="1">
      <alignment horizontal="left" vertical="center"/>
    </xf>
    <xf numFmtId="0" fontId="20" fillId="0" borderId="7" xfId="0" applyFont="1" applyBorder="1" applyAlignment="1">
      <alignment horizontal="center"/>
    </xf>
    <xf numFmtId="0" fontId="21" fillId="15" borderId="13" xfId="0" applyFont="1" applyFill="1" applyBorder="1" applyAlignment="1">
      <alignment wrapText="1"/>
    </xf>
    <xf numFmtId="0" fontId="21" fillId="15" borderId="6" xfId="0" applyFont="1" applyFill="1" applyBorder="1" applyAlignment="1">
      <alignment wrapText="1"/>
    </xf>
    <xf numFmtId="0" fontId="21" fillId="15" borderId="7" xfId="0" applyFont="1" applyFill="1" applyBorder="1" applyAlignment="1">
      <alignment wrapText="1"/>
    </xf>
    <xf numFmtId="0" fontId="22" fillId="5" borderId="3" xfId="23" applyFont="1" applyBorder="1" applyAlignment="1">
      <alignment horizontal="left" vertical="center"/>
    </xf>
    <xf numFmtId="1" fontId="0" fillId="16" borderId="0" xfId="0" applyNumberFormat="1" applyFill="1"/>
    <xf numFmtId="1" fontId="0" fillId="18" borderId="0" xfId="0" applyNumberFormat="1" applyFill="1"/>
    <xf numFmtId="0" fontId="0" fillId="18" borderId="0" xfId="0" applyFill="1"/>
    <xf numFmtId="2" fontId="0" fillId="16" borderId="0" xfId="29" applyNumberFormat="1" applyFont="1" applyFill="1"/>
    <xf numFmtId="0" fontId="0" fillId="16" borderId="0" xfId="29" applyFont="1" applyFill="1"/>
    <xf numFmtId="2" fontId="0" fillId="16" borderId="0" xfId="0" applyNumberFormat="1" applyFill="1"/>
    <xf numFmtId="2" fontId="0" fillId="16" borderId="0" xfId="0" applyNumberFormat="1" applyFont="1" applyFill="1"/>
    <xf numFmtId="165" fontId="0" fillId="16" borderId="0" xfId="0" applyNumberFormat="1" applyFill="1"/>
    <xf numFmtId="2" fontId="0" fillId="0" borderId="0" xfId="29" applyNumberFormat="1" applyFont="1" applyFill="1"/>
    <xf numFmtId="0" fontId="3" fillId="11" borderId="2" xfId="32" applyFont="1" applyFill="1" applyBorder="1" applyAlignment="1">
      <alignment horizontal="center" vertical="center" wrapText="1"/>
      <protection/>
    </xf>
    <xf numFmtId="0" fontId="18" fillId="2" borderId="2" xfId="20" applyFont="1" applyBorder="1" applyAlignment="1">
      <alignment horizontal="center" wrapText="1"/>
    </xf>
    <xf numFmtId="0" fontId="18" fillId="2" borderId="14" xfId="20" applyFont="1" applyBorder="1" applyAlignment="1">
      <alignment horizontal="center" wrapText="1"/>
    </xf>
    <xf numFmtId="0" fontId="3" fillId="11" borderId="2" xfId="33" applyFont="1" applyFill="1" applyBorder="1" applyAlignment="1">
      <alignment horizontal="center" vertical="center" wrapText="1"/>
      <protection/>
    </xf>
    <xf numFmtId="0" fontId="18" fillId="2" borderId="14" xfId="20" applyFont="1" applyBorder="1" applyAlignment="1" quotePrefix="1">
      <alignment horizontal="center" wrapText="1"/>
    </xf>
    <xf numFmtId="0" fontId="3" fillId="11" borderId="2" xfId="0" applyFont="1" applyFill="1" applyBorder="1" applyAlignment="1">
      <alignment horizontal="center" vertical="center" wrapText="1"/>
    </xf>
    <xf numFmtId="1" fontId="0" fillId="18" borderId="3" xfId="0" applyNumberFormat="1" applyFill="1" applyBorder="1"/>
    <xf numFmtId="0" fontId="12" fillId="4" borderId="0" xfId="22"/>
    <xf numFmtId="166" fontId="7" fillId="0" borderId="12" xfId="0" applyNumberFormat="1" applyFont="1" applyBorder="1" applyAlignment="1">
      <alignment horizontal="left" vertical="center"/>
    </xf>
    <xf numFmtId="0" fontId="3" fillId="0" borderId="15" xfId="0" applyFont="1" applyBorder="1"/>
    <xf numFmtId="1" fontId="0" fillId="17" borderId="0" xfId="0" applyNumberFormat="1" applyFill="1"/>
    <xf numFmtId="0" fontId="0" fillId="17" borderId="0" xfId="0" applyFill="1"/>
    <xf numFmtId="1" fontId="3" fillId="17" borderId="16" xfId="0" applyNumberFormat="1" applyFont="1" applyFill="1" applyBorder="1"/>
    <xf numFmtId="1" fontId="3" fillId="17" borderId="15" xfId="0" applyNumberFormat="1" applyFont="1" applyFill="1" applyBorder="1"/>
    <xf numFmtId="0" fontId="18" fillId="2" borderId="5" xfId="20" applyFont="1" applyBorder="1" applyAlignment="1">
      <alignment horizontal="left" wrapText="1"/>
    </xf>
    <xf numFmtId="0" fontId="3" fillId="15" borderId="11" xfId="0" applyFont="1" applyFill="1" applyBorder="1" applyAlignment="1">
      <alignment wrapText="1"/>
    </xf>
    <xf numFmtId="0" fontId="3" fillId="15" borderId="8" xfId="0" applyFont="1" applyFill="1" applyBorder="1" applyAlignment="1">
      <alignment wrapText="1"/>
    </xf>
    <xf numFmtId="9" fontId="8" fillId="17" borderId="11" xfId="15" applyFont="1" applyFill="1" applyBorder="1" applyAlignment="1">
      <alignment horizontal="left" vertical="center"/>
    </xf>
    <xf numFmtId="9" fontId="8" fillId="17" borderId="2" xfId="15" applyFont="1" applyFill="1" applyBorder="1" applyAlignment="1">
      <alignment horizontal="left" vertical="center"/>
    </xf>
    <xf numFmtId="9" fontId="8" fillId="17" borderId="12" xfId="15" applyFont="1" applyFill="1" applyBorder="1" applyAlignment="1">
      <alignment horizontal="left" vertical="center"/>
    </xf>
    <xf numFmtId="9" fontId="8" fillId="17" borderId="3" xfId="15" applyFont="1" applyFill="1" applyBorder="1" applyAlignment="1">
      <alignment horizontal="left" vertical="center"/>
    </xf>
    <xf numFmtId="9" fontId="15" fillId="9" borderId="2" xfId="15" applyFont="1" applyFill="1" applyBorder="1" applyAlignment="1">
      <alignment/>
    </xf>
    <xf numFmtId="9" fontId="15" fillId="9" borderId="3" xfId="15" applyFont="1" applyFill="1" applyBorder="1" applyAlignment="1">
      <alignment/>
    </xf>
    <xf numFmtId="9" fontId="0" fillId="0" borderId="0" xfId="40" applyFont="1" applyFill="1"/>
    <xf numFmtId="2" fontId="0" fillId="16" borderId="3" xfId="0" applyNumberFormat="1" applyFont="1" applyFill="1" applyBorder="1"/>
    <xf numFmtId="1" fontId="0" fillId="16" borderId="3" xfId="0" applyNumberFormat="1" applyFill="1" applyBorder="1"/>
    <xf numFmtId="2" fontId="0" fillId="16" borderId="3" xfId="0" applyNumberFormat="1" applyFill="1" applyBorder="1"/>
    <xf numFmtId="0" fontId="0" fillId="16" borderId="3" xfId="0" applyFill="1" applyBorder="1"/>
    <xf numFmtId="165" fontId="0" fillId="16" borderId="3" xfId="0" applyNumberFormat="1" applyFill="1" applyBorder="1"/>
    <xf numFmtId="1" fontId="1" fillId="13" borderId="3" xfId="21" applyNumberFormat="1" applyFont="1" applyFill="1" applyBorder="1" applyAlignment="1">
      <alignment horizontal="right" wrapText="1"/>
    </xf>
    <xf numFmtId="0" fontId="18" fillId="0" borderId="0" xfId="20" applyFont="1" applyFill="1" applyBorder="1" applyAlignment="1">
      <alignment horizontal="left" wrapText="1"/>
    </xf>
    <xf numFmtId="2" fontId="0" fillId="0" borderId="0" xfId="0" applyNumberFormat="1"/>
    <xf numFmtId="0" fontId="3" fillId="15" borderId="13" xfId="0" applyFont="1" applyFill="1" applyBorder="1" applyAlignment="1">
      <alignment wrapText="1"/>
    </xf>
    <xf numFmtId="0" fontId="3" fillId="15" borderId="5" xfId="0" applyFont="1" applyFill="1" applyBorder="1" applyAlignment="1">
      <alignment wrapText="1"/>
    </xf>
    <xf numFmtId="0" fontId="3" fillId="15" borderId="6" xfId="0" applyFont="1" applyFill="1" applyBorder="1" applyAlignment="1">
      <alignment wrapText="1"/>
    </xf>
    <xf numFmtId="0" fontId="23" fillId="0" borderId="0" xfId="30" applyFont="1">
      <alignment/>
      <protection/>
    </xf>
    <xf numFmtId="0" fontId="3" fillId="19" borderId="0" xfId="30" applyFont="1" applyFill="1">
      <alignment/>
      <protection/>
    </xf>
    <xf numFmtId="9" fontId="15" fillId="9" borderId="17" xfId="15" applyFont="1" applyFill="1" applyBorder="1" applyAlignment="1">
      <alignment/>
    </xf>
    <xf numFmtId="9" fontId="15" fillId="9" borderId="15" xfId="15" applyFont="1" applyFill="1" applyBorder="1" applyAlignment="1">
      <alignment/>
    </xf>
    <xf numFmtId="166" fontId="8" fillId="17" borderId="13" xfId="0" applyNumberFormat="1" applyFont="1" applyFill="1" applyBorder="1" applyAlignment="1">
      <alignment horizontal="center" vertical="center"/>
    </xf>
    <xf numFmtId="166" fontId="8" fillId="17" borderId="7" xfId="0" applyNumberFormat="1" applyFont="1" applyFill="1" applyBorder="1" applyAlignment="1">
      <alignment horizontal="center" vertical="center"/>
    </xf>
    <xf numFmtId="166" fontId="8" fillId="17" borderId="6" xfId="0" applyNumberFormat="1" applyFont="1" applyFill="1" applyBorder="1" applyAlignment="1">
      <alignment horizontal="center" vertical="center"/>
    </xf>
    <xf numFmtId="1" fontId="1" fillId="13" borderId="2" xfId="21" applyNumberFormat="1" applyFont="1" applyFill="1" applyBorder="1" applyAlignment="1">
      <alignment horizontal="center" wrapText="1"/>
    </xf>
    <xf numFmtId="1" fontId="1" fillId="13" borderId="4" xfId="21" applyNumberFormat="1" applyFont="1" applyFill="1" applyBorder="1" applyAlignment="1">
      <alignment horizontal="center" wrapText="1"/>
    </xf>
    <xf numFmtId="167" fontId="4" fillId="0" borderId="0" xfId="0" applyNumberFormat="1" applyFont="1"/>
    <xf numFmtId="167" fontId="0" fillId="0" borderId="0" xfId="0" applyNumberFormat="1" applyFont="1"/>
    <xf numFmtId="167" fontId="3" fillId="11" borderId="2" xfId="0" applyNumberFormat="1" applyFont="1" applyFill="1" applyBorder="1" applyAlignment="1">
      <alignment horizontal="left"/>
    </xf>
    <xf numFmtId="167" fontId="3" fillId="11" borderId="5" xfId="0" applyNumberFormat="1" applyFont="1" applyFill="1" applyBorder="1" applyAlignment="1">
      <alignment horizontal="left"/>
    </xf>
    <xf numFmtId="167" fontId="18" fillId="2" borderId="4" xfId="20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18" fillId="2" borderId="4" xfId="20" applyNumberFormat="1" applyFont="1" applyBorder="1" applyAlignment="1">
      <alignment horizontal="center" wrapText="1"/>
    </xf>
    <xf numFmtId="167" fontId="0" fillId="0" borderId="3" xfId="0" applyNumberFormat="1" applyBorder="1"/>
    <xf numFmtId="167" fontId="0" fillId="0" borderId="3" xfId="0" applyNumberFormat="1" applyFont="1" applyBorder="1"/>
  </cellXfs>
  <cellStyles count="2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5" xfId="20" builtinId="46"/>
    <cellStyle name="40% - Accent3" xfId="21" builtinId="39"/>
    <cellStyle name="60% - Accent2" xfId="22" builtinId="36"/>
    <cellStyle name="Accent1" xfId="23" builtinId="29"/>
    <cellStyle name="Accent2" xfId="24" builtinId="33"/>
    <cellStyle name="Calculation" xfId="25" builtinId="22"/>
    <cellStyle name="Comma 2" xfId="26"/>
    <cellStyle name="Good" xfId="27" builtinId="26"/>
    <cellStyle name="Input" xfId="28" builtinId="20"/>
    <cellStyle name="Neutral" xfId="29" builtinId="28"/>
    <cellStyle name="Normal 10" xfId="30"/>
    <cellStyle name="Normal 2" xfId="31"/>
    <cellStyle name="Normal 4" xfId="32"/>
    <cellStyle name="Normal 4 2" xfId="33"/>
    <cellStyle name="Normal 8" xfId="34"/>
    <cellStyle name="Normal 9 2" xfId="35"/>
    <cellStyle name="Normale_B2020" xfId="36"/>
    <cellStyle name="Percent 2" xfId="37"/>
    <cellStyle name="Percent 3" xfId="38"/>
    <cellStyle name="Percent 4" xfId="39"/>
    <cellStyle name="Percent 5" xfId="40"/>
    <cellStyle name="Standard_Sce_D_Extraction" xfId="4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theme" Target="theme/theme1.xml" /><Relationship Id="rId12" Type="http://schemas.openxmlformats.org/officeDocument/2006/relationships/calcChain" Target="calcChain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1" Type="http://schemas.openxmlformats.org/officeDocument/2006/relationships/externalLink" Target="externalLinks/externalLink2.xml" /><Relationship Id="rId10" Type="http://schemas.openxmlformats.org/officeDocument/2006/relationships/externalLink" Target="externalLinks/externalLink1.xml" /><Relationship Id="rId5" Type="http://schemas.openxmlformats.org/officeDocument/2006/relationships/worksheet" Target="worksheets/sheet3.xml" />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Target="../media/image1.png" /><Relationship Id="rId2" Type="http://schemas.openxmlformats.org/officeDocument/2006/relationships/image" Target="../media/image4.png" /><Relationship Id="rId3" Type="http://schemas.openxmlformats.org/officeDocument/2006/relationships/image" Target="../media/image2.png" /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e62e8ed2-0747-4aa0-bd7a-0074f8087eb6}"/>
            </a:ext>
          </a:extLst>
        </xdr:cNvPr>
        <xdr:cNvSpPr txBox="1"/>
      </xdr:nvSpPr>
      <xdr:spPr>
        <a:xfrm>
          <a:off x="5800725" y="2857500"/>
          <a:ext cx="4343400" cy="981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/>
          <a:r>
            <a:rPr lang="en-GB" sz="1100" b="1">
              <a:solidFill>
                <a:schemeClr val="tx1"/>
              </a:solidFill>
            </a:rPr>
            <a:t>Column B</a:t>
          </a:r>
          <a:r>
            <a:rPr lang="en-GB" sz="1100">
              <a:solidFill>
                <a:schemeClr val="tx1"/>
              </a:solidFill>
            </a:rPr>
            <a:t> (rows</a:t>
          </a:r>
          <a:r>
            <a:rPr lang="en-GB" sz="1100" baseline="0">
              <a:solidFill>
                <a:schemeClr val="tx1"/>
              </a:solidFill>
            </a:rPr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>
              <a:solidFill>
                <a:schemeClr val="tx1"/>
              </a:solidFill>
            </a:rPr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420" name="Picture 6">
          <a:extLst>
            <a:ext uri="{FF2B5EF4-FFF2-40B4-BE49-F238E27FC236}">
              <a16:creationId xmlns:a16="http://schemas.microsoft.com/office/drawing/2014/main" id="{fc30f54f-2c1d-4dc4-b84a-ed3cc3dc8e4f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23825" y="895350"/>
          <a:ext cx="800100" cy="2238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421" name="Picture 8">
          <a:extLst>
            <a:ext uri="{FF2B5EF4-FFF2-40B4-BE49-F238E27FC236}">
              <a16:creationId xmlns:a16="http://schemas.microsoft.com/office/drawing/2014/main" id="{4fa8fa22-4a37-4ffa-8fe4-0511ce0577a7}"/>
            </a:ext>
          </a:extLst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095375" y="18859500"/>
          <a:ext cx="4029075" cy="19050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6</xdr:row>
      <xdr:rowOff>0</xdr:rowOff>
    </xdr:from>
    <xdr:to>
      <xdr:col>8</xdr:col>
      <xdr:colOff>85725</xdr:colOff>
      <xdr:row>30</xdr:row>
      <xdr:rowOff>47625</xdr:rowOff>
    </xdr:to>
    <xdr:pic>
      <xdr:nvPicPr>
        <xdr:cNvPr id="57422" name="Picture 4">
          <a:extLst>
            <a:ext uri="{FF2B5EF4-FFF2-40B4-BE49-F238E27FC236}">
              <a16:creationId xmlns:a16="http://schemas.microsoft.com/office/drawing/2014/main" id="{23fd6060-aded-4401-82cc-c5db068dd5f1}"/>
            </a:ext>
          </a:extLst>
        </xdr:cNvPr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114425" y="1038225"/>
          <a:ext cx="3114675" cy="3933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30</xdr:row>
      <xdr:rowOff>47625</xdr:rowOff>
    </xdr:from>
    <xdr:to>
      <xdr:col>8</xdr:col>
      <xdr:colOff>85725</xdr:colOff>
      <xdr:row>54</xdr:row>
      <xdr:rowOff>9525</xdr:rowOff>
    </xdr:to>
    <xdr:pic>
      <xdr:nvPicPr>
        <xdr:cNvPr id="57423" name="Picture 5">
          <a:extLst>
            <a:ext uri="{FF2B5EF4-FFF2-40B4-BE49-F238E27FC236}">
              <a16:creationId xmlns:a16="http://schemas.microsoft.com/office/drawing/2014/main" id="{506d0267-c98d-40fd-8ad7-5b8f501ab408}"/>
            </a:ext>
          </a:extLst>
        </xdr:cNvPr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114425" y="4972050"/>
          <a:ext cx="3114675" cy="38481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bdd6f24d-c157-4397-a14d-07c5288e415b}"/>
            </a:ext>
          </a:extLst>
        </xdr:cNvPr>
        <xdr:cNvSpPr txBox="1"/>
      </xdr:nvSpPr>
      <xdr:spPr>
        <a:xfrm>
          <a:off x="6524625" y="5372100"/>
          <a:ext cx="6457950" cy="981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14</xdr:col>
      <xdr:colOff>10583</xdr:colOff>
      <xdr:row>26</xdr:row>
      <xdr:rowOff>95250</xdr:rowOff>
    </xdr:from>
    <xdr:to>
      <xdr:col>17</xdr:col>
      <xdr:colOff>3864838</xdr:colOff>
      <xdr:row>33</xdr:row>
      <xdr:rowOff>12700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821cae80-4917-41b7-ab6b-8a92ddc5d758}"/>
            </a:ext>
          </a:extLst>
        </xdr:cNvPr>
        <xdr:cNvSpPr txBox="1"/>
      </xdr:nvSpPr>
      <xdr:spPr>
        <a:xfrm>
          <a:off x="9877425" y="4933950"/>
          <a:ext cx="5895975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19050</xdr:colOff>
      <xdr:row>17</xdr:row>
      <xdr:rowOff>28575</xdr:rowOff>
    </xdr:from>
    <xdr:to>
      <xdr:col>5</xdr:col>
      <xdr:colOff>19050</xdr:colOff>
      <xdr:row>20</xdr:row>
      <xdr:rowOff>142875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325f9516-e8c4-4d8c-90a3-a97eb54be666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c96f7d35-63f1-4d04-89d3-937edef15038}"/>
            </a:ext>
          </a:extLst>
        </xdr:cNvPr>
        <xdr:cNvSpPr txBox="1"/>
      </xdr:nvSpPr>
      <xdr:spPr>
        <a:xfrm>
          <a:off x="609600" y="2143125"/>
          <a:ext cx="4391025" cy="5524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192.168.1.80\VedaOnlineWebsiteModels\HArishKumar\Demo_S012_Vonline\test~~0c0bbecc-3c86-4258-a76c-9632f3084c85~~051426_143610\EnergyBalanc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/>
      <sheetData sheetId="2">
        <row r="16">
          <cell r="D16">
            <v>124.79425</v>
          </cell>
          <cell r="E16">
            <v>3095.8758</v>
          </cell>
          <cell r="G16">
            <v>862.053</v>
          </cell>
          <cell r="H16">
            <v>72.9495</v>
          </cell>
          <cell r="I16">
            <v>190.176</v>
          </cell>
          <cell r="J16">
            <v>3.168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298.48175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</v>
          </cell>
          <cell r="U16">
            <v>1435.871</v>
          </cell>
        </row>
        <row r="17">
          <cell r="D17">
            <v>19.92375</v>
          </cell>
          <cell r="E17">
            <v>1051.038</v>
          </cell>
          <cell r="G17">
            <v>368.844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0.242</v>
          </cell>
          <cell r="N17">
            <v>0</v>
          </cell>
          <cell r="O17">
            <v>13</v>
          </cell>
          <cell r="P17">
            <v>0</v>
          </cell>
          <cell r="Q17">
            <v>0</v>
          </cell>
          <cell r="R17">
            <v>7.5</v>
          </cell>
          <cell r="S17">
            <v>0.6085</v>
          </cell>
          <cell r="T17">
            <v>127.323</v>
          </cell>
          <cell r="U17">
            <v>1263.6955</v>
          </cell>
        </row>
        <row r="18">
          <cell r="D18">
            <v>663.9451</v>
          </cell>
          <cell r="E18">
            <v>2662.2966</v>
          </cell>
          <cell r="G18">
            <v>298.68</v>
          </cell>
          <cell r="H18">
            <v>36.3565</v>
          </cell>
          <cell r="I18">
            <v>142.9715</v>
          </cell>
          <cell r="J18">
            <v>7.766</v>
          </cell>
          <cell r="K18">
            <v>44.066</v>
          </cell>
          <cell r="L18">
            <v>286.0505</v>
          </cell>
          <cell r="M18">
            <v>191.573</v>
          </cell>
          <cell r="N18">
            <v>0</v>
          </cell>
          <cell r="O18">
            <v>180.41775</v>
          </cell>
          <cell r="P18">
            <v>0</v>
          </cell>
          <cell r="Q18">
            <v>0</v>
          </cell>
          <cell r="R18">
            <v>0</v>
          </cell>
          <cell r="S18">
            <v>58.596</v>
          </cell>
          <cell r="T18">
            <v>316.7915</v>
          </cell>
          <cell r="U18">
            <v>2044.222</v>
          </cell>
        </row>
        <row r="19">
          <cell r="G19">
            <v>366.588</v>
          </cell>
          <cell r="H19">
            <v>0.473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15.7715</v>
          </cell>
          <cell r="P19">
            <v>0</v>
          </cell>
          <cell r="Q19">
            <v>0</v>
          </cell>
          <cell r="R19">
            <v>0</v>
          </cell>
          <cell r="S19">
            <v>0.0005</v>
          </cell>
          <cell r="T19">
            <v>7.787</v>
          </cell>
          <cell r="U19">
            <v>9.693</v>
          </cell>
        </row>
        <row r="20">
          <cell r="D20">
            <v>0.1946</v>
          </cell>
          <cell r="E20">
            <v>12.7494</v>
          </cell>
          <cell r="G20">
            <v>3856.2855</v>
          </cell>
          <cell r="H20">
            <v>1047.652</v>
          </cell>
          <cell r="I20">
            <v>94.231</v>
          </cell>
          <cell r="J20">
            <v>2394.216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40.25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132.986</v>
          </cell>
        </row>
        <row r="21">
          <cell r="D21">
            <v>416.230849999999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</v>
          </cell>
          <cell r="U21">
            <v>325</v>
          </cell>
        </row>
        <row r="22">
          <cell r="D22">
            <v>18.35855</v>
          </cell>
          <cell r="E22">
            <v>380.2938</v>
          </cell>
          <cell r="G22">
            <v>76.465</v>
          </cell>
          <cell r="H22">
            <v>4.7945</v>
          </cell>
          <cell r="I22">
            <v>199.8735</v>
          </cell>
          <cell r="J22">
            <v>3.146</v>
          </cell>
          <cell r="K22">
            <v>899.206</v>
          </cell>
          <cell r="L22">
            <v>52.04</v>
          </cell>
          <cell r="M22">
            <v>800.729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146.906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 /><Relationship Id="rId3" Type="http://schemas.openxmlformats.org/officeDocument/2006/relationships/vmlDrawing" Target="../drawings/vmlDrawing3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1"/>
  <sheetViews>
    <sheetView zoomScale="90" zoomScaleNormal="90" workbookViewId="0" topLeftCell="A1">
      <selection pane="topLeft" activeCell="D9" sqref="D9:U9"/>
    </sheetView>
  </sheetViews>
  <sheetFormatPr defaultRowHeight="12.75"/>
  <cols>
    <col min="1" max="1" width="3" bestFit="1" customWidth="1"/>
    <col min="2" max="2" width="18.4285714285714" bestFit="1" customWidth="1"/>
    <col min="3" max="3" width="33.2857142857143" customWidth="1"/>
    <col min="4" max="21" width="10.8571428571429" customWidth="1"/>
    <col min="22" max="22" width="7.28571428571429" bestFit="1" customWidth="1"/>
    <col min="23" max="23" width="2" bestFit="1" customWidth="1"/>
    <col min="24" max="24" width="12.5714285714286" bestFit="1" customWidth="1"/>
    <col min="26" max="26" width="6.71428571428571" bestFit="1" customWidth="1"/>
    <col min="27" max="27" width="9.28571428571429" bestFit="1" customWidth="1"/>
    <col min="28" max="28" width="2" bestFit="1" customWidth="1"/>
  </cols>
  <sheetData>
    <row r="1" spans="24:27" ht="12.75">
      <c r="X1" s="20" t="s">
        <v>93</v>
      </c>
      <c r="Y1" s="1" t="s">
        <v>94</v>
      </c>
      <c r="Z1" s="1" t="s">
        <v>95</v>
      </c>
      <c r="AA1" s="1" t="s">
        <v>103</v>
      </c>
    </row>
    <row r="2" spans="4:27" ht="15.75">
      <c r="D2" s="41" t="s">
        <v>44</v>
      </c>
      <c r="E2" s="41" t="s">
        <v>45</v>
      </c>
      <c r="F2" s="41" t="s">
        <v>46</v>
      </c>
      <c r="G2" s="41" t="s">
        <v>129</v>
      </c>
      <c r="H2" s="41" t="s">
        <v>130</v>
      </c>
      <c r="I2" s="41" t="s">
        <v>131</v>
      </c>
      <c r="J2" s="41" t="s">
        <v>132</v>
      </c>
      <c r="K2" s="41" t="s">
        <v>133</v>
      </c>
      <c r="L2" s="41" t="s">
        <v>134</v>
      </c>
      <c r="M2" s="41" t="s">
        <v>135</v>
      </c>
      <c r="N2" s="41" t="s">
        <v>47</v>
      </c>
      <c r="O2" s="41" t="s">
        <v>168</v>
      </c>
      <c r="P2" s="41" t="s">
        <v>169</v>
      </c>
      <c r="Q2" s="41" t="s">
        <v>170</v>
      </c>
      <c r="R2" s="41" t="s">
        <v>171</v>
      </c>
      <c r="S2" s="41" t="s">
        <v>48</v>
      </c>
      <c r="T2" s="41" t="s">
        <v>49</v>
      </c>
      <c r="U2" s="41" t="s">
        <v>50</v>
      </c>
      <c r="V2" s="41" t="s">
        <v>166</v>
      </c>
      <c r="Y2" s="40" t="s">
        <v>156</v>
      </c>
      <c r="Z2" s="10" t="s">
        <v>76</v>
      </c>
      <c r="AA2" s="10" t="s">
        <v>104</v>
      </c>
    </row>
    <row r="3" spans="3:22" ht="38.25">
      <c r="C3" s="61" t="s">
        <v>126</v>
      </c>
      <c r="D3" s="42" t="s">
        <v>51</v>
      </c>
      <c r="E3" s="42" t="s">
        <v>52</v>
      </c>
      <c r="F3" s="42" t="s">
        <v>128</v>
      </c>
      <c r="G3" s="42" t="s">
        <v>141</v>
      </c>
      <c r="H3" s="42" t="s">
        <v>138</v>
      </c>
      <c r="I3" s="42" t="s">
        <v>131</v>
      </c>
      <c r="J3" s="42" t="s">
        <v>139</v>
      </c>
      <c r="K3" s="42" t="s">
        <v>140</v>
      </c>
      <c r="L3" s="42" t="s">
        <v>136</v>
      </c>
      <c r="M3" s="42" t="s">
        <v>137</v>
      </c>
      <c r="N3" s="42" t="s">
        <v>53</v>
      </c>
      <c r="O3" s="42" t="s">
        <v>176</v>
      </c>
      <c r="P3" s="42" t="s">
        <v>173</v>
      </c>
      <c r="Q3" s="42" t="s">
        <v>174</v>
      </c>
      <c r="R3" s="42" t="s">
        <v>175</v>
      </c>
      <c r="S3" s="42" t="s">
        <v>54</v>
      </c>
      <c r="T3" s="42" t="s">
        <v>55</v>
      </c>
      <c r="U3" s="42" t="s">
        <v>88</v>
      </c>
      <c r="V3" s="42" t="s">
        <v>56</v>
      </c>
    </row>
    <row r="4" spans="2:22" ht="12.75">
      <c r="B4" s="39"/>
      <c r="C4" s="79" t="s">
        <v>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80"/>
    </row>
    <row r="5" spans="2:22" ht="12.75">
      <c r="B5" s="43" t="s">
        <v>58</v>
      </c>
      <c r="C5" s="51" t="s">
        <v>59</v>
      </c>
      <c r="D5" s="81">
        <f>'[2]EB2'!D16</f>
        <v>124.79425000000001</v>
      </c>
      <c r="E5" s="81">
        <f>'[2]EB2'!E16</f>
        <v>3095.8757999999998</v>
      </c>
      <c r="F5" s="81">
        <f>'[2]EB2'!F16</f>
        <v>0</v>
      </c>
      <c r="G5" s="81">
        <f>'[2]EB2'!G16</f>
        <v>862.053</v>
      </c>
      <c r="H5" s="81">
        <f>'[2]EB2'!H16</f>
        <v>72.9495</v>
      </c>
      <c r="I5" s="81">
        <f>'[2]EB2'!I16</f>
        <v>190.17599999999999</v>
      </c>
      <c r="J5" s="81">
        <f>'[2]EB2'!J16</f>
        <v>3.1680000000000001</v>
      </c>
      <c r="K5" s="81">
        <f>'[2]EB2'!K16</f>
        <v>0</v>
      </c>
      <c r="L5" s="81">
        <f>'[2]EB2'!L16</f>
        <v>15.380000000000001</v>
      </c>
      <c r="M5" s="81">
        <f>'[2]EB2'!M16</f>
        <v>0.92000000000000004</v>
      </c>
      <c r="N5" s="82">
        <f>'[2]EB2'!N16</f>
        <v>0</v>
      </c>
      <c r="O5" s="81">
        <f>'[2]EB2'!O16</f>
        <v>298.48174999999992</v>
      </c>
      <c r="P5" s="81">
        <f>'[2]EB2'!P16</f>
        <v>0</v>
      </c>
      <c r="Q5" s="81">
        <f>'[2]EB2'!Q16</f>
        <v>0</v>
      </c>
      <c r="R5" s="81">
        <f>'[2]EB2'!R16</f>
        <v>50</v>
      </c>
      <c r="S5" s="81">
        <f>'[2]EB2'!S16</f>
        <v>0</v>
      </c>
      <c r="T5" s="81">
        <f>'[2]EB2'!T16</f>
        <v>432.74250000000001</v>
      </c>
      <c r="U5" s="81">
        <f>'[2]EB2'!U16</f>
        <v>1435.8710000000001</v>
      </c>
      <c r="V5" s="83">
        <f>SUM(D5:U5)</f>
        <v>6582.4117999999999</v>
      </c>
    </row>
    <row r="6" spans="2:22" ht="12.75">
      <c r="B6" s="43" t="s">
        <v>60</v>
      </c>
      <c r="C6" s="52" t="s">
        <v>61</v>
      </c>
      <c r="D6" s="81">
        <f>'[2]EB2'!D17</f>
        <v>19.923749999999998</v>
      </c>
      <c r="E6" s="81">
        <f>'[2]EB2'!E17</f>
        <v>1051.038</v>
      </c>
      <c r="F6" s="81">
        <f>'[2]EB2'!F17</f>
        <v>0</v>
      </c>
      <c r="G6" s="81">
        <f>'[2]EB2'!G17</f>
        <v>368.84399999999999</v>
      </c>
      <c r="H6" s="81">
        <f>'[2]EB2'!H17</f>
        <v>1.677</v>
      </c>
      <c r="I6" s="81">
        <f>'[2]EB2'!I17</f>
        <v>31.602</v>
      </c>
      <c r="J6" s="81">
        <f>'[2]EB2'!J17</f>
        <v>5.7199999999999998</v>
      </c>
      <c r="K6" s="81">
        <f>'[2]EB2'!K17</f>
        <v>0</v>
      </c>
      <c r="L6" s="81">
        <f>'[2]EB2'!L17</f>
        <v>19.32</v>
      </c>
      <c r="M6" s="81">
        <f>'[2]EB2'!M17</f>
        <v>0.24199999999999999</v>
      </c>
      <c r="N6" s="82">
        <f>'[2]EB2'!N17</f>
        <v>0</v>
      </c>
      <c r="O6" s="81">
        <f>'[2]EB2'!O17</f>
        <v>13</v>
      </c>
      <c r="P6" s="81">
        <f>'[2]EB2'!P17</f>
        <v>0</v>
      </c>
      <c r="Q6" s="81">
        <f>'[2]EB2'!Q17</f>
        <v>0</v>
      </c>
      <c r="R6" s="81">
        <f>'[2]EB2'!R17</f>
        <v>7.5</v>
      </c>
      <c r="S6" s="81">
        <f>'[2]EB2'!S17</f>
        <v>0.60850000000000004</v>
      </c>
      <c r="T6" s="81">
        <f>'[2]EB2'!T17</f>
        <v>127.32299999999999</v>
      </c>
      <c r="U6" s="81">
        <f>'[2]EB2'!U17</f>
        <v>1263.6955</v>
      </c>
      <c r="V6" s="83">
        <f t="shared" si="0" ref="V6:V12">SUM(D6:U6)</f>
        <v>2910.4937500000001</v>
      </c>
    </row>
    <row r="7" spans="2:22" ht="12.75">
      <c r="B7" s="43" t="s">
        <v>62</v>
      </c>
      <c r="C7" s="52" t="s">
        <v>63</v>
      </c>
      <c r="D7" s="81">
        <f>'[2]EB2'!D18</f>
        <v>663.94509999999991</v>
      </c>
      <c r="E7" s="81">
        <f>'[2]EB2'!E18</f>
        <v>2662.2965999999997</v>
      </c>
      <c r="F7" s="81">
        <f>'[2]EB2'!F18</f>
        <v>0</v>
      </c>
      <c r="G7" s="81">
        <f>'[2]EB2'!G18</f>
        <v>298.68000000000001</v>
      </c>
      <c r="H7" s="81">
        <f>'[2]EB2'!H18</f>
        <v>36.356499999999997</v>
      </c>
      <c r="I7" s="81">
        <f>'[2]EB2'!I18</f>
        <v>142.97149999999999</v>
      </c>
      <c r="J7" s="81">
        <f>'[2]EB2'!J18</f>
        <v>7.766</v>
      </c>
      <c r="K7" s="81">
        <f>'[2]EB2'!K18</f>
        <v>44.066000000000003</v>
      </c>
      <c r="L7" s="81">
        <f>'[2]EB2'!L18</f>
        <v>286.0505</v>
      </c>
      <c r="M7" s="81">
        <f>'[2]EB2'!M18</f>
        <v>191.57300000000001</v>
      </c>
      <c r="N7" s="82">
        <f>'[2]EB2'!N18</f>
        <v>0</v>
      </c>
      <c r="O7" s="81">
        <f>'[2]EB2'!O18</f>
        <v>180.41775000000007</v>
      </c>
      <c r="P7" s="81">
        <f>'[2]EB2'!P18</f>
        <v>0</v>
      </c>
      <c r="Q7" s="81">
        <f>'[2]EB2'!Q18</f>
        <v>0</v>
      </c>
      <c r="R7" s="81">
        <f>'[2]EB2'!R18</f>
        <v>0</v>
      </c>
      <c r="S7" s="81">
        <f>'[2]EB2'!S18</f>
        <v>58.595999999999997</v>
      </c>
      <c r="T7" s="81">
        <f>'[2]EB2'!T18</f>
        <v>316.79149999999998</v>
      </c>
      <c r="U7" s="81">
        <f>'[2]EB2'!U18</f>
        <v>2044.222</v>
      </c>
      <c r="V7" s="83">
        <f t="shared" si="0"/>
        <v>6933.7324499999986</v>
      </c>
    </row>
    <row r="8" spans="2:22" ht="12.75">
      <c r="B8" s="43" t="s">
        <v>64</v>
      </c>
      <c r="C8" s="52" t="s">
        <v>65</v>
      </c>
      <c r="D8" s="81">
        <f>'[2]EB2'!D19</f>
        <v>15.434999999999999</v>
      </c>
      <c r="E8" s="81">
        <f>'[2]EB2'!E19</f>
        <v>120.72359999999999</v>
      </c>
      <c r="F8" s="81">
        <f>'[2]EB2'!F19</f>
        <v>0</v>
      </c>
      <c r="G8" s="81">
        <f>'[2]EB2'!G19</f>
        <v>366.58800000000002</v>
      </c>
      <c r="H8" s="81">
        <f>'[2]EB2'!H19</f>
        <v>0.47299999999999998</v>
      </c>
      <c r="I8" s="81">
        <f>'[2]EB2'!I19</f>
        <v>16.169</v>
      </c>
      <c r="J8" s="81">
        <f>'[2]EB2'!J19</f>
        <v>1.716</v>
      </c>
      <c r="K8" s="81">
        <f>'[2]EB2'!K19</f>
        <v>0</v>
      </c>
      <c r="L8" s="81">
        <f>'[2]EB2'!L19</f>
        <v>13.74</v>
      </c>
      <c r="M8" s="81">
        <f>'[2]EB2'!M19</f>
        <v>0</v>
      </c>
      <c r="N8" s="82">
        <f>'[2]EB2'!N19</f>
        <v>0</v>
      </c>
      <c r="O8" s="81">
        <f>'[2]EB2'!O19</f>
        <v>15.771500000000003</v>
      </c>
      <c r="P8" s="81">
        <f>'[2]EB2'!P19</f>
        <v>0</v>
      </c>
      <c r="Q8" s="81">
        <f>'[2]EB2'!Q19</f>
        <v>0</v>
      </c>
      <c r="R8" s="81">
        <f>'[2]EB2'!R19</f>
        <v>0</v>
      </c>
      <c r="S8" s="81">
        <f>'[2]EB2'!S19</f>
        <v>0.00050000000000000001</v>
      </c>
      <c r="T8" s="81">
        <f>'[2]EB2'!T19</f>
        <v>7.7869999999999999</v>
      </c>
      <c r="U8" s="81">
        <f>'[2]EB2'!U19</f>
        <v>9.6930000000000014</v>
      </c>
      <c r="V8" s="83">
        <f t="shared" si="0"/>
        <v>568.09659999999997</v>
      </c>
    </row>
    <row r="9" spans="2:22" ht="15">
      <c r="B9" s="43" t="s">
        <v>66</v>
      </c>
      <c r="C9" s="52" t="s">
        <v>67</v>
      </c>
      <c r="D9" s="81">
        <f>'[2]EB2'!D20</f>
        <v>0.1946</v>
      </c>
      <c r="E9" s="47">
        <f>'[2]EB2'!E20</f>
        <v>12.7494</v>
      </c>
      <c r="F9" s="81">
        <f>'[2]EB2'!F20</f>
        <v>0</v>
      </c>
      <c r="G9" s="47">
        <f>'[2]EB2'!G20</f>
        <v>3856.2855</v>
      </c>
      <c r="H9" s="81">
        <f>'[2]EB2'!H20</f>
        <v>1047.652</v>
      </c>
      <c r="I9" s="47">
        <f>'[2]EB2'!I20</f>
        <v>94.230999999999995</v>
      </c>
      <c r="J9" s="47">
        <f>'[2]EB2'!J20</f>
        <v>2394.2159999999999</v>
      </c>
      <c r="K9" s="81">
        <f>'[2]EB2'!K20</f>
        <v>0</v>
      </c>
      <c r="L9" s="81">
        <f>'[2]EB2'!L20</f>
        <v>33.240000000000002</v>
      </c>
      <c r="M9" s="81">
        <f>'[2]EB2'!M20</f>
        <v>0</v>
      </c>
      <c r="N9" s="81">
        <f>'[2]EB2'!N20</f>
        <v>0</v>
      </c>
      <c r="O9" s="47">
        <f>'[2]EB2'!O20</f>
        <v>40.25</v>
      </c>
      <c r="P9" s="81">
        <f>'[2]EB2'!P20</f>
        <v>0</v>
      </c>
      <c r="Q9" s="81">
        <f>'[2]EB2'!Q20</f>
        <v>0</v>
      </c>
      <c r="R9" s="81">
        <f>'[2]EB2'!R20</f>
        <v>0</v>
      </c>
      <c r="S9" s="81">
        <f>'[2]EB2'!S20</f>
        <v>0</v>
      </c>
      <c r="T9" s="81">
        <f>'[2]EB2'!T20</f>
        <v>0</v>
      </c>
      <c r="U9" s="47">
        <f>'[2]EB2'!U20</f>
        <v>132.98599999999999</v>
      </c>
      <c r="V9" s="83">
        <f t="shared" si="0"/>
        <v>7611.8044999999993</v>
      </c>
    </row>
    <row r="10" spans="2:22" ht="12.75">
      <c r="B10" s="43" t="s">
        <v>68</v>
      </c>
      <c r="C10" s="53" t="s">
        <v>69</v>
      </c>
      <c r="D10" s="46">
        <f>'[2]EB2'!D21</f>
        <v>416.23084999999924</v>
      </c>
      <c r="E10" s="46">
        <f>'[2]EB2'!E21</f>
        <v>0</v>
      </c>
      <c r="F10" s="46">
        <f>'[2]EB2'!F21</f>
        <v>0</v>
      </c>
      <c r="G10" s="46">
        <f>'[2]EB2'!G21</f>
        <v>0</v>
      </c>
      <c r="H10" s="46">
        <f>'[2]EB2'!H21</f>
        <v>0</v>
      </c>
      <c r="I10" s="46">
        <f>'[2]EB2'!I21</f>
        <v>0</v>
      </c>
      <c r="J10" s="46">
        <f>'[2]EB2'!J21</f>
        <v>0</v>
      </c>
      <c r="K10" s="46">
        <f>'[2]EB2'!K21</f>
        <v>0</v>
      </c>
      <c r="L10" s="46">
        <f>'[2]EB2'!L21</f>
        <v>0</v>
      </c>
      <c r="M10" s="46">
        <f>'[2]EB2'!M21</f>
        <v>0</v>
      </c>
      <c r="N10" s="46">
        <f>'[2]EB2'!N21</f>
        <v>0</v>
      </c>
      <c r="O10" s="46">
        <f>'[2]EB2'!O21</f>
        <v>0</v>
      </c>
      <c r="P10" s="46">
        <f>'[2]EB2'!P21</f>
        <v>0</v>
      </c>
      <c r="Q10" s="46">
        <f>'[2]EB2'!Q21</f>
        <v>0</v>
      </c>
      <c r="R10" s="46">
        <f>'[2]EB2'!R21</f>
        <v>0</v>
      </c>
      <c r="S10" s="46">
        <f>'[2]EB2'!S21</f>
        <v>0</v>
      </c>
      <c r="T10" s="46">
        <f>'[2]EB2'!T21</f>
        <v>313.51900000000001</v>
      </c>
      <c r="U10" s="46">
        <f>'[2]EB2'!U21</f>
        <v>325</v>
      </c>
      <c r="V10" s="84">
        <f t="shared" si="0"/>
        <v>1054.7498499999992</v>
      </c>
    </row>
    <row r="11" spans="2:22" ht="12.75">
      <c r="B11" s="43" t="s">
        <v>86</v>
      </c>
      <c r="C11" s="52" t="s">
        <v>70</v>
      </c>
      <c r="D11" s="81">
        <f>'[2]EB2'!D22</f>
        <v>18.358550000000001</v>
      </c>
      <c r="E11" s="81">
        <f>'[2]EB2'!E22</f>
        <v>380.29379999999998</v>
      </c>
      <c r="F11" s="81">
        <f>'[2]EB2'!F22</f>
        <v>0</v>
      </c>
      <c r="G11" s="81">
        <f>'[2]EB2'!G22</f>
        <v>76.465000000000003</v>
      </c>
      <c r="H11" s="81">
        <f>'[2]EB2'!H22</f>
        <v>4.7945000000000002</v>
      </c>
      <c r="I11" s="81">
        <f>'[2]EB2'!I22</f>
        <v>199.87350000000001</v>
      </c>
      <c r="J11" s="81">
        <f>'[2]EB2'!J22</f>
        <v>3.1459999999999999</v>
      </c>
      <c r="K11" s="81">
        <f>'[2]EB2'!K22</f>
        <v>899.20600000000002</v>
      </c>
      <c r="L11" s="81">
        <f>'[2]EB2'!L22</f>
        <v>52.039999999999999</v>
      </c>
      <c r="M11" s="81">
        <f>'[2]EB2'!M22</f>
        <v>800.72900000000004</v>
      </c>
      <c r="N11" s="82">
        <f>'[2]EB2'!N22</f>
        <v>0</v>
      </c>
      <c r="O11" s="81">
        <f>'[2]EB2'!O22</f>
        <v>0</v>
      </c>
      <c r="P11" s="81">
        <f>'[2]EB2'!P22</f>
        <v>0</v>
      </c>
      <c r="Q11" s="81">
        <f>'[2]EB2'!Q22</f>
        <v>0</v>
      </c>
      <c r="R11" s="81">
        <f>'[2]EB2'!R22</f>
        <v>0</v>
      </c>
      <c r="S11" s="81">
        <f>'[2]EB2'!S22</f>
        <v>0</v>
      </c>
      <c r="T11" s="81">
        <f>'[2]EB2'!T22</f>
        <v>0</v>
      </c>
      <c r="U11" s="81">
        <f>'[2]EB2'!U22</f>
        <v>0</v>
      </c>
      <c r="V11" s="83">
        <f t="shared" si="0"/>
        <v>2434.9063500000002</v>
      </c>
    </row>
    <row r="12" spans="2:22" ht="12.75">
      <c r="B12" s="43" t="s">
        <v>87</v>
      </c>
      <c r="C12" s="52" t="s">
        <v>71</v>
      </c>
      <c r="D12" s="81">
        <f>'[2]EB2'!D23</f>
        <v>0</v>
      </c>
      <c r="E12" s="81">
        <f>'[2]EB2'!E23</f>
        <v>0</v>
      </c>
      <c r="F12" s="81">
        <f>'[2]EB2'!F23</f>
        <v>0</v>
      </c>
      <c r="G12" s="81">
        <f>'[2]EB2'!G23</f>
        <v>146.90600000000001</v>
      </c>
      <c r="H12" s="81">
        <f>'[2]EB2'!H23</f>
        <v>0</v>
      </c>
      <c r="I12" s="81">
        <f>'[2]EB2'!I23</f>
        <v>0</v>
      </c>
      <c r="J12" s="81">
        <f>'[2]EB2'!J23</f>
        <v>0</v>
      </c>
      <c r="K12" s="81">
        <f>'[2]EB2'!K23</f>
        <v>0</v>
      </c>
      <c r="L12" s="81">
        <f>'[2]EB2'!L23</f>
        <v>902.13999999999999</v>
      </c>
      <c r="M12" s="81">
        <f>'[2]EB2'!M23</f>
        <v>6.5</v>
      </c>
      <c r="N12" s="82">
        <f>'[2]EB2'!N23</f>
        <v>0</v>
      </c>
      <c r="O12" s="46">
        <f>'[2]EB2'!O23</f>
        <v>0</v>
      </c>
      <c r="P12" s="46">
        <f>'[2]EB2'!P23</f>
        <v>0</v>
      </c>
      <c r="Q12" s="46">
        <f>'[2]EB2'!Q23</f>
        <v>0</v>
      </c>
      <c r="R12" s="46">
        <f>'[2]EB2'!R23</f>
        <v>0</v>
      </c>
      <c r="S12" s="81">
        <f>'[2]EB2'!S23</f>
        <v>0</v>
      </c>
      <c r="T12" s="81">
        <f>'[2]EB2'!T23</f>
        <v>0</v>
      </c>
      <c r="U12" s="81">
        <f>'[2]EB2'!U23</f>
        <v>0</v>
      </c>
      <c r="V12" s="83">
        <f t="shared" si="0"/>
        <v>1055.546</v>
      </c>
    </row>
    <row r="13" spans="2:22" ht="15">
      <c r="B13" s="78" t="s">
        <v>89</v>
      </c>
      <c r="C13" s="50" t="s">
        <v>162</v>
      </c>
      <c r="D13" s="48">
        <f t="shared" si="1" ref="D13:V13">SUM(D5:D12)</f>
        <v>1258.8820999999991</v>
      </c>
      <c r="E13" s="48">
        <f t="shared" si="1"/>
        <v>7322.9772000000003</v>
      </c>
      <c r="F13" s="48">
        <f t="shared" si="1"/>
        <v>0</v>
      </c>
      <c r="G13" s="48">
        <f t="shared" si="1"/>
        <v>5975.8215</v>
      </c>
      <c r="H13" s="48">
        <f t="shared" si="1"/>
        <v>1163.9024999999999</v>
      </c>
      <c r="I13" s="48">
        <f t="shared" si="1"/>
        <v>675.02300000000002</v>
      </c>
      <c r="J13" s="48">
        <f t="shared" si="1"/>
        <v>2415.732</v>
      </c>
      <c r="K13" s="48">
        <f t="shared" si="1"/>
        <v>943.27200000000005</v>
      </c>
      <c r="L13" s="48">
        <f t="shared" si="1"/>
        <v>1321.9105</v>
      </c>
      <c r="M13" s="48">
        <f t="shared" si="1"/>
        <v>999.96400000000006</v>
      </c>
      <c r="N13" s="48">
        <f t="shared" si="1"/>
        <v>0</v>
      </c>
      <c r="O13" s="48">
        <f t="shared" si="1"/>
        <v>547.92100000000005</v>
      </c>
      <c r="P13" s="48"/>
      <c r="Q13" s="48"/>
      <c r="R13" s="48"/>
      <c r="S13" s="48">
        <f t="shared" si="1"/>
        <v>59.204999999999998</v>
      </c>
      <c r="T13" s="48">
        <f t="shared" si="1"/>
        <v>1198.163</v>
      </c>
      <c r="U13" s="48">
        <f>SUM(U5:U12)</f>
        <v>5211.4674999999997</v>
      </c>
      <c r="V13" s="49">
        <f t="shared" si="1"/>
        <v>29151.741299999998</v>
      </c>
    </row>
    <row r="14" spans="4:13" ht="12.75">
      <c r="D14" s="7"/>
      <c r="F14" s="7"/>
      <c r="G14" s="7"/>
      <c r="H14" s="7"/>
      <c r="I14" s="7"/>
      <c r="J14" s="7"/>
      <c r="K14" s="7"/>
      <c r="L14" s="7"/>
      <c r="M14" s="7"/>
    </row>
    <row r="15" spans="4:13" ht="12.75">
      <c r="D15" s="7"/>
      <c r="F15" s="7"/>
      <c r="G15" s="7"/>
      <c r="H15" s="7"/>
      <c r="I15" s="7"/>
      <c r="J15" s="7"/>
      <c r="K15" s="7"/>
      <c r="L15" s="7"/>
      <c r="M15" s="7"/>
    </row>
    <row r="16" spans="3:13" ht="15">
      <c r="C16" s="47" t="s">
        <v>157</v>
      </c>
      <c r="D16" s="47"/>
      <c r="E16" s="47"/>
      <c r="F16" s="7"/>
      <c r="G16" s="7"/>
      <c r="H16" s="7"/>
      <c r="I16" s="7"/>
      <c r="J16" s="7"/>
      <c r="K16" s="7"/>
      <c r="L16" s="7"/>
      <c r="M16" s="7"/>
    </row>
    <row r="17" spans="4:13" ht="12.75">
      <c r="D17" s="7"/>
      <c r="F17" s="7"/>
      <c r="G17" s="7"/>
      <c r="H17" s="7"/>
      <c r="I17" s="7"/>
      <c r="J17" s="7"/>
      <c r="K17" s="7"/>
      <c r="L17" s="7"/>
      <c r="M17" s="7"/>
    </row>
    <row r="18" spans="4:13" ht="12.75">
      <c r="D18" s="7"/>
      <c r="F18" s="7"/>
      <c r="G18" s="7"/>
      <c r="H18" s="7"/>
      <c r="I18" s="7"/>
      <c r="J18" s="7"/>
      <c r="K18" s="7"/>
      <c r="L18" s="7"/>
      <c r="M18" s="7"/>
    </row>
    <row r="19" spans="4:13" ht="12.75">
      <c r="D19" s="7"/>
      <c r="F19" s="7"/>
      <c r="G19" s="7"/>
      <c r="H19" s="7"/>
      <c r="I19" s="7"/>
      <c r="J19" s="7"/>
      <c r="K19" s="7"/>
      <c r="L19" s="7"/>
      <c r="M19" s="7"/>
    </row>
    <row r="20" spans="4:13" ht="12.75">
      <c r="D20" s="7"/>
      <c r="F20" s="7"/>
      <c r="G20" s="7"/>
      <c r="H20" s="7"/>
      <c r="I20" s="7"/>
      <c r="J20" s="7"/>
      <c r="K20" s="7"/>
      <c r="L20" s="7"/>
      <c r="M20" s="7"/>
    </row>
    <row r="21" spans="4:13" ht="12.75">
      <c r="D21" s="7"/>
      <c r="F21" s="7"/>
      <c r="G21" s="7"/>
      <c r="H21" s="7"/>
      <c r="I21" s="7"/>
      <c r="J21" s="7"/>
      <c r="K21" s="7"/>
      <c r="L21" s="7"/>
      <c r="M21" s="7"/>
    </row>
    <row r="22" spans="4:13" ht="12.75">
      <c r="D22" s="7"/>
      <c r="F22" s="7"/>
      <c r="G22" s="7"/>
      <c r="H22" s="7"/>
      <c r="I22" s="7"/>
      <c r="J22" s="7"/>
      <c r="K22" s="7"/>
      <c r="L22" s="7"/>
      <c r="M22" s="7"/>
    </row>
    <row r="23" spans="3:18" ht="12.75">
      <c r="C23" s="1"/>
      <c r="D23" s="21"/>
      <c r="O23" s="6"/>
      <c r="P23" s="6"/>
      <c r="Q23" s="6"/>
      <c r="R23" s="6"/>
    </row>
    <row r="24" spans="2:22" ht="38.25">
      <c r="B24" s="22" t="s">
        <v>102</v>
      </c>
      <c r="C24" s="57" t="s">
        <v>116</v>
      </c>
      <c r="D24" s="103" t="s">
        <v>51</v>
      </c>
      <c r="E24" s="104" t="s">
        <v>52</v>
      </c>
      <c r="F24" s="104" t="s">
        <v>128</v>
      </c>
      <c r="G24" s="104" t="s">
        <v>141</v>
      </c>
      <c r="H24" s="104" t="s">
        <v>138</v>
      </c>
      <c r="I24" s="104" t="s">
        <v>131</v>
      </c>
      <c r="J24" s="104" t="s">
        <v>139</v>
      </c>
      <c r="K24" s="104" t="s">
        <v>140</v>
      </c>
      <c r="L24" s="104" t="s">
        <v>136</v>
      </c>
      <c r="M24" s="104" t="s">
        <v>137</v>
      </c>
      <c r="N24" s="104" t="s">
        <v>53</v>
      </c>
      <c r="O24" s="42" t="s">
        <v>172</v>
      </c>
      <c r="P24" s="42" t="s">
        <v>173</v>
      </c>
      <c r="Q24" s="42" t="s">
        <v>174</v>
      </c>
      <c r="R24" s="42" t="s">
        <v>175</v>
      </c>
      <c r="S24" s="104" t="s">
        <v>54</v>
      </c>
      <c r="T24" s="104" t="s">
        <v>55</v>
      </c>
      <c r="U24" s="105" t="s">
        <v>88</v>
      </c>
      <c r="V24" s="42" t="s">
        <v>56</v>
      </c>
    </row>
    <row r="25" spans="2:24" ht="15">
      <c r="B25" s="43" t="s">
        <v>66</v>
      </c>
      <c r="C25" s="54" t="s">
        <v>164</v>
      </c>
      <c r="D25" s="88"/>
      <c r="E25" s="92">
        <v>1</v>
      </c>
      <c r="F25" s="89"/>
      <c r="G25" s="92">
        <v>0.90</v>
      </c>
      <c r="H25" s="89"/>
      <c r="I25" s="92">
        <v>1</v>
      </c>
      <c r="J25" s="92">
        <v>1</v>
      </c>
      <c r="K25" s="89"/>
      <c r="L25" s="89"/>
      <c r="M25" s="89"/>
      <c r="N25" s="89"/>
      <c r="O25" s="92">
        <v>0.50</v>
      </c>
      <c r="P25" s="89"/>
      <c r="Q25" s="89"/>
      <c r="R25" s="89"/>
      <c r="S25" s="89"/>
      <c r="T25" s="89"/>
      <c r="U25" s="108">
        <v>0</v>
      </c>
      <c r="V25" s="55"/>
      <c r="X25" s="51" t="s">
        <v>142</v>
      </c>
    </row>
    <row r="26" spans="2:24" ht="15">
      <c r="B26" s="43" t="s">
        <v>66</v>
      </c>
      <c r="C26" s="56" t="s">
        <v>165</v>
      </c>
      <c r="D26" s="90"/>
      <c r="E26" s="93">
        <f>1-E25</f>
        <v>0</v>
      </c>
      <c r="F26" s="91"/>
      <c r="G26" s="93">
        <f>1-G25</f>
        <v>0.099999999999999978</v>
      </c>
      <c r="H26" s="91"/>
      <c r="I26" s="93">
        <f>1-I25</f>
        <v>0</v>
      </c>
      <c r="J26" s="93">
        <f>1-J25</f>
        <v>0</v>
      </c>
      <c r="K26" s="91"/>
      <c r="L26" s="91"/>
      <c r="M26" s="91"/>
      <c r="N26" s="91"/>
      <c r="O26" s="93">
        <f>1-O25</f>
        <v>0.5</v>
      </c>
      <c r="P26" s="91"/>
      <c r="Q26" s="91"/>
      <c r="R26" s="91"/>
      <c r="S26" s="91"/>
      <c r="T26" s="91"/>
      <c r="U26" s="109">
        <f>1-U25</f>
        <v>1</v>
      </c>
      <c r="V26" s="45"/>
      <c r="X26" s="53" t="s">
        <v>163</v>
      </c>
    </row>
    <row r="29" spans="3:5" ht="12.75">
      <c r="C29" s="58" t="s">
        <v>106</v>
      </c>
      <c r="D29" s="60" t="s">
        <v>107</v>
      </c>
      <c r="E29" s="59" t="s">
        <v>108</v>
      </c>
    </row>
    <row r="30" spans="2:5" ht="12.75">
      <c r="B30" s="20" t="s">
        <v>117</v>
      </c>
      <c r="C30" s="86" t="s">
        <v>109</v>
      </c>
      <c r="D30" s="86" t="s">
        <v>110</v>
      </c>
      <c r="E30" s="87" t="s">
        <v>108</v>
      </c>
    </row>
    <row r="31" spans="2:5" ht="12.75">
      <c r="B31" s="43" t="s">
        <v>66</v>
      </c>
      <c r="C31" s="110">
        <v>1</v>
      </c>
      <c r="D31" s="111"/>
      <c r="E31" s="112"/>
    </row>
  </sheetData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zoomScale="90" zoomScaleNormal="90" workbookViewId="0" topLeftCell="A1">
      <selection pane="topLeft" activeCell="K11" sqref="K11"/>
    </sheetView>
  </sheetViews>
  <sheetFormatPr defaultRowHeight="12.75"/>
  <cols>
    <col min="1" max="1" width="1.85714285714286" style="23" customWidth="1"/>
    <col min="2" max="2" width="7.71428571428571" style="23" customWidth="1"/>
    <col min="3" max="3" width="6.85714285714286" style="23" customWidth="1"/>
    <col min="4" max="16384" width="9.14285714285714" style="23"/>
  </cols>
  <sheetData>
    <row r="3" spans="2:2" ht="18">
      <c r="B3" s="106" t="s">
        <v>161</v>
      </c>
    </row>
    <row r="5" spans="4:7" ht="12.75">
      <c r="D5" s="107" t="s">
        <v>167</v>
      </c>
      <c r="E5" s="107"/>
      <c r="F5" s="107"/>
      <c r="G5" s="107"/>
    </row>
  </sheetData>
  <pageMargins left="0.7" right="0.7" top="0.75" bottom="0.75" header="0.3" footer="0.3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6"/>
  <sheetViews>
    <sheetView workbookViewId="0" topLeftCell="A1">
      <selection pane="topLeft" activeCell="H15" sqref="H15"/>
    </sheetView>
  </sheetViews>
  <sheetFormatPr defaultRowHeight="12.75"/>
  <cols>
    <col min="1" max="1" width="3" customWidth="1"/>
    <col min="2" max="2" width="13.5714285714286" bestFit="1" customWidth="1"/>
    <col min="3" max="3" width="13.1428571428571" bestFit="1" customWidth="1"/>
    <col min="4" max="4" width="11.8571428571429" bestFit="1" customWidth="1"/>
    <col min="5" max="5" width="11.5714285714286" bestFit="1" customWidth="1"/>
    <col min="6" max="6" width="13" bestFit="1" customWidth="1"/>
    <col min="7" max="7" width="8.28571428571429" bestFit="1" customWidth="1"/>
    <col min="8" max="8" width="9" customWidth="1"/>
    <col min="9" max="9" width="2.14285714285714" bestFit="1" customWidth="1"/>
    <col min="10" max="10" width="12.4285714285714" customWidth="1"/>
    <col min="11" max="11" width="7.14285714285714" customWidth="1"/>
    <col min="12" max="12" width="14.5714285714286" bestFit="1" customWidth="1"/>
    <col min="13" max="13" width="63" customWidth="1"/>
    <col min="14" max="14" width="6.14285714285714" customWidth="1"/>
    <col min="15" max="15" width="10.4285714285714" bestFit="1" customWidth="1"/>
    <col min="16" max="16" width="12.8571428571429" bestFit="1" customWidth="1"/>
    <col min="17" max="17" width="14.1428571428571" bestFit="1" customWidth="1"/>
    <col min="18" max="18" width="8.14285714285714" customWidth="1"/>
  </cols>
  <sheetData>
    <row r="1" spans="2:8" ht="15">
      <c r="B1" s="8" t="s">
        <v>73</v>
      </c>
      <c r="C1" s="8" t="s">
        <v>74</v>
      </c>
      <c r="D1" s="8" t="s">
        <v>75</v>
      </c>
      <c r="E1" s="8" t="s">
        <v>113</v>
      </c>
      <c r="F1" s="8" t="s">
        <v>94</v>
      </c>
      <c r="G1" s="8" t="s">
        <v>100</v>
      </c>
      <c r="H1" s="30"/>
    </row>
    <row r="2" spans="2:18" ht="15.75">
      <c r="B2" s="10" t="str">
        <f>'EB2'!B9</f>
        <v>TRA</v>
      </c>
      <c r="C2" s="10" t="str">
        <f>'EB2'!C9</f>
        <v>Transport</v>
      </c>
      <c r="D2" s="10" t="s">
        <v>111</v>
      </c>
      <c r="E2" s="10" t="str">
        <f>'EB2'!Z2</f>
        <v>PJ</v>
      </c>
      <c r="F2" s="10" t="str">
        <f>'EB2'!Y2</f>
        <v>M€2005</v>
      </c>
      <c r="G2" s="10" t="s">
        <v>101</v>
      </c>
      <c r="H2" s="9"/>
      <c r="J2" s="115" t="s">
        <v>14</v>
      </c>
      <c r="K2" s="115"/>
      <c r="L2" s="116"/>
      <c r="M2" s="116"/>
      <c r="N2" s="116"/>
      <c r="O2" s="116"/>
      <c r="P2" s="116"/>
      <c r="Q2" s="116"/>
      <c r="R2" s="116"/>
    </row>
    <row r="3" spans="10:18" ht="12.75">
      <c r="J3" s="117" t="s">
        <v>7</v>
      </c>
      <c r="K3" s="118" t="s">
        <v>30</v>
      </c>
      <c r="L3" s="117" t="s">
        <v>0</v>
      </c>
      <c r="M3" s="117" t="s">
        <v>3</v>
      </c>
      <c r="N3" s="117" t="s">
        <v>4</v>
      </c>
      <c r="O3" s="117" t="s">
        <v>8</v>
      </c>
      <c r="P3" s="117" t="s">
        <v>9</v>
      </c>
      <c r="Q3" s="117" t="s">
        <v>10</v>
      </c>
      <c r="R3" s="117" t="s">
        <v>12</v>
      </c>
    </row>
    <row r="4" spans="2:18" ht="24" thickBot="1">
      <c r="B4" s="9"/>
      <c r="C4" s="9"/>
      <c r="D4" s="9"/>
      <c r="E4" s="9"/>
      <c r="G4" s="9"/>
      <c r="J4" s="119" t="s">
        <v>37</v>
      </c>
      <c r="K4" s="119" t="s">
        <v>31</v>
      </c>
      <c r="L4" s="119" t="s">
        <v>26</v>
      </c>
      <c r="M4" s="119" t="s">
        <v>27</v>
      </c>
      <c r="N4" s="119" t="s">
        <v>4</v>
      </c>
      <c r="O4" s="119" t="s">
        <v>40</v>
      </c>
      <c r="P4" s="119" t="s">
        <v>41</v>
      </c>
      <c r="Q4" s="119" t="s">
        <v>28</v>
      </c>
      <c r="R4" s="119" t="s">
        <v>29</v>
      </c>
    </row>
    <row r="5" spans="5:18" ht="12.75">
      <c r="E5" s="12"/>
      <c r="F5" s="12"/>
      <c r="G5" s="70"/>
      <c r="H5" s="11"/>
      <c r="J5" s="120" t="s">
        <v>72</v>
      </c>
      <c r="K5" s="120"/>
      <c r="L5" s="120" t="str">
        <f>$B$2&amp;'EB2'!$E$2</f>
        <v>TRAGAS</v>
      </c>
      <c r="M5" s="121" t="str">
        <f>$C$2&amp;" "&amp;'EB2'!$E$3</f>
        <v>Transport Natural Gas</v>
      </c>
      <c r="N5" s="120" t="str">
        <f t="shared" si="0" ref="N5:N10">$E$2</f>
        <v>PJ</v>
      </c>
      <c r="O5" s="120"/>
      <c r="P5" s="120"/>
      <c r="Q5" s="120"/>
      <c r="R5" s="120"/>
    </row>
    <row r="6" spans="5:18" ht="12.75">
      <c r="E6" s="12"/>
      <c r="F6" s="12"/>
      <c r="G6" s="70"/>
      <c r="H6" s="11"/>
      <c r="J6" s="120"/>
      <c r="K6" s="120"/>
      <c r="L6" s="120" t="str">
        <f>$B$2&amp;'EB2'!$G$2</f>
        <v>TRADSL</v>
      </c>
      <c r="M6" s="121" t="str">
        <f>$C$2&amp;" "&amp;'EB2'!$G$3</f>
        <v>Transport Diesel oil</v>
      </c>
      <c r="N6" s="120" t="str">
        <f t="shared" si="0"/>
        <v>PJ</v>
      </c>
      <c r="O6" s="120"/>
      <c r="P6" s="120"/>
      <c r="Q6" s="120"/>
      <c r="R6" s="120"/>
    </row>
    <row r="7" spans="5:18" ht="12.75">
      <c r="E7" s="12"/>
      <c r="F7" s="12"/>
      <c r="G7" s="70"/>
      <c r="H7" s="11"/>
      <c r="J7" s="120"/>
      <c r="K7" s="120"/>
      <c r="L7" s="120" t="str">
        <f>$B$2&amp;'EB2'!$I$2</f>
        <v>TRALPG</v>
      </c>
      <c r="M7" s="121" t="str">
        <f>$C$2&amp;" "&amp;'EB2'!$I$3</f>
        <v>Transport LPG</v>
      </c>
      <c r="N7" s="120" t="str">
        <f t="shared" si="0"/>
        <v>PJ</v>
      </c>
      <c r="O7" s="120"/>
      <c r="P7" s="120"/>
      <c r="Q7" s="120"/>
      <c r="R7" s="120"/>
    </row>
    <row r="8" spans="5:18" ht="12.75">
      <c r="E8" s="12"/>
      <c r="F8" s="12"/>
      <c r="G8" s="70"/>
      <c r="H8" s="11"/>
      <c r="J8" s="120"/>
      <c r="K8" s="120"/>
      <c r="L8" s="120" t="str">
        <f>$B$2&amp;'EB2'!$J$2</f>
        <v>TRAGSL</v>
      </c>
      <c r="M8" s="121" t="str">
        <f>$C$2&amp;" "&amp;'EB2'!$J$3</f>
        <v>Transport Motor spirit</v>
      </c>
      <c r="N8" s="120" t="str">
        <f t="shared" si="0"/>
        <v>PJ</v>
      </c>
      <c r="O8" s="120"/>
      <c r="P8" s="120"/>
      <c r="Q8" s="120"/>
      <c r="R8" s="120"/>
    </row>
    <row r="9" spans="5:18" ht="12.75">
      <c r="E9" s="12"/>
      <c r="F9" s="12"/>
      <c r="G9" s="70"/>
      <c r="H9" s="11"/>
      <c r="J9" s="120"/>
      <c r="K9" s="120"/>
      <c r="L9" s="120" t="str">
        <f>$B$2&amp;'EB2'!$O$2</f>
        <v>TRABIO</v>
      </c>
      <c r="M9" s="121" t="str">
        <f>$C$2&amp;" "&amp;'EB2'!$O$3</f>
        <v>Transport Biofuels</v>
      </c>
      <c r="N9" s="120" t="str">
        <f t="shared" si="0"/>
        <v>PJ</v>
      </c>
      <c r="O9" s="120"/>
      <c r="P9" s="120"/>
      <c r="Q9" s="120"/>
      <c r="R9" s="120"/>
    </row>
    <row r="10" spans="5:18" ht="12.75">
      <c r="E10" s="12"/>
      <c r="F10" s="12"/>
      <c r="G10" s="70"/>
      <c r="H10" s="11"/>
      <c r="J10" s="120"/>
      <c r="K10" s="120"/>
      <c r="L10" s="120" t="str">
        <f>$B$2&amp;'EB2'!$U$2</f>
        <v>TRAELC</v>
      </c>
      <c r="M10" s="121" t="str">
        <f>$C$2&amp;" "&amp;'EB2'!$U$3</f>
        <v>Transport Electricity</v>
      </c>
      <c r="N10" s="120" t="str">
        <f t="shared" si="0"/>
        <v>PJ</v>
      </c>
      <c r="O10" s="120"/>
      <c r="P10" s="120" t="s">
        <v>125</v>
      </c>
      <c r="Q10" s="120"/>
      <c r="R10" s="120" t="s">
        <v>50</v>
      </c>
    </row>
    <row r="11" spans="12:13" ht="12.75">
      <c r="L11" s="23"/>
      <c r="M11" s="24"/>
    </row>
    <row r="12" spans="4:18" ht="12.75">
      <c r="D12" s="5" t="s">
        <v>13</v>
      </c>
      <c r="E12" s="5"/>
      <c r="F12" s="5"/>
      <c r="J12" s="115" t="s">
        <v>15</v>
      </c>
      <c r="K12" s="115"/>
      <c r="L12" s="120"/>
      <c r="M12" s="120"/>
      <c r="N12" s="120"/>
      <c r="O12" s="120"/>
      <c r="P12" s="120"/>
      <c r="Q12" s="120"/>
      <c r="R12" s="120"/>
    </row>
    <row r="13" spans="2:18" ht="12.75">
      <c r="B13" s="17" t="s">
        <v>1</v>
      </c>
      <c r="C13" s="17" t="s">
        <v>5</v>
      </c>
      <c r="D13" s="17" t="s">
        <v>6</v>
      </c>
      <c r="E13" s="74" t="s">
        <v>155</v>
      </c>
      <c r="F13" s="71" t="s">
        <v>127</v>
      </c>
      <c r="G13" s="71" t="s">
        <v>85</v>
      </c>
      <c r="H13" s="71" t="s">
        <v>79</v>
      </c>
      <c r="J13" s="117" t="s">
        <v>11</v>
      </c>
      <c r="K13" s="118" t="s">
        <v>30</v>
      </c>
      <c r="L13" s="117" t="s">
        <v>1</v>
      </c>
      <c r="M13" s="117" t="s">
        <v>2</v>
      </c>
      <c r="N13" s="117" t="s">
        <v>16</v>
      </c>
      <c r="O13" s="117" t="s">
        <v>17</v>
      </c>
      <c r="P13" s="117" t="s">
        <v>18</v>
      </c>
      <c r="Q13" s="117" t="s">
        <v>19</v>
      </c>
      <c r="R13" s="117" t="s">
        <v>20</v>
      </c>
    </row>
    <row r="14" spans="2:18" ht="23.25" thickBot="1">
      <c r="B14" s="16" t="s">
        <v>39</v>
      </c>
      <c r="C14" s="16" t="s">
        <v>32</v>
      </c>
      <c r="D14" s="16" t="s">
        <v>33</v>
      </c>
      <c r="E14" s="16" t="s">
        <v>154</v>
      </c>
      <c r="F14" s="16" t="s">
        <v>34</v>
      </c>
      <c r="G14" s="16" t="s">
        <v>90</v>
      </c>
      <c r="H14" s="16" t="s">
        <v>177</v>
      </c>
      <c r="J14" s="119" t="s">
        <v>38</v>
      </c>
      <c r="K14" s="119" t="s">
        <v>31</v>
      </c>
      <c r="L14" s="119" t="s">
        <v>21</v>
      </c>
      <c r="M14" s="119" t="s">
        <v>22</v>
      </c>
      <c r="N14" s="119" t="s">
        <v>23</v>
      </c>
      <c r="O14" s="119" t="s">
        <v>24</v>
      </c>
      <c r="P14" s="119" t="s">
        <v>43</v>
      </c>
      <c r="Q14" s="119" t="s">
        <v>42</v>
      </c>
      <c r="R14" s="119" t="s">
        <v>25</v>
      </c>
    </row>
    <row r="15" spans="2:18" ht="13.5" thickBot="1">
      <c r="B15" s="15" t="s">
        <v>91</v>
      </c>
      <c r="C15" s="15"/>
      <c r="D15" s="15"/>
      <c r="E15" s="13"/>
      <c r="F15" s="13" t="str">
        <f>E2&amp;"a"</f>
        <v>PJa</v>
      </c>
      <c r="G15" s="13"/>
      <c r="H15" s="13" t="s">
        <v>92</v>
      </c>
      <c r="J15" s="119" t="s">
        <v>81</v>
      </c>
      <c r="K15" s="122"/>
      <c r="L15" s="122"/>
      <c r="M15" s="122"/>
      <c r="N15" s="122"/>
      <c r="O15" s="122"/>
      <c r="P15" s="122"/>
      <c r="Q15" s="122"/>
      <c r="R15" s="122"/>
    </row>
    <row r="16" spans="2:18" ht="12.75">
      <c r="B16" t="str">
        <f t="shared" si="1" ref="B16:B21">L16</f>
        <v>FTE-TRAGAS</v>
      </c>
      <c r="C16" t="str">
        <f t="shared" si="2" ref="C16:C21">RIGHT(D16,3)</f>
        <v>GAS</v>
      </c>
      <c r="D16" t="str">
        <f t="shared" si="3" ref="D16:D21">L5</f>
        <v>TRAGAS</v>
      </c>
      <c r="E16" s="12"/>
      <c r="F16" s="12"/>
      <c r="G16" s="65">
        <v>1</v>
      </c>
      <c r="H16" s="66">
        <v>50</v>
      </c>
      <c r="J16" s="116" t="s">
        <v>112</v>
      </c>
      <c r="K16" s="120"/>
      <c r="L16" s="120" t="str">
        <f t="shared" si="4" ref="L16:L21">"FT"&amp;$G$2&amp;"-"&amp;L5</f>
        <v>FTE-TRAGAS</v>
      </c>
      <c r="M16" s="121" t="str">
        <f t="shared" si="5" ref="M16:M21">$D$2&amp;" Technology"&amp;" "&amp;$G$1&amp;" "&amp;M5</f>
        <v>Sector Fuel Technology Existing Transport Natural Gas</v>
      </c>
      <c r="N16" s="120" t="str">
        <f t="shared" si="6" ref="N16:N21">$E$2</f>
        <v>PJ</v>
      </c>
      <c r="O16" s="120" t="str">
        <f t="shared" si="7" ref="O16:O21">$E$2&amp;"a"</f>
        <v>PJa</v>
      </c>
      <c r="P16" s="120"/>
      <c r="Q16" s="120"/>
      <c r="R16" s="120"/>
    </row>
    <row r="17" spans="2:18" ht="12.75">
      <c r="B17" t="str">
        <f t="shared" si="1"/>
        <v>FTE-TRADSL</v>
      </c>
      <c r="C17" t="str">
        <f t="shared" si="2"/>
        <v>DSL</v>
      </c>
      <c r="D17" t="str">
        <f t="shared" si="3"/>
        <v>TRADSL</v>
      </c>
      <c r="E17" s="12"/>
      <c r="F17" s="12"/>
      <c r="G17" s="65">
        <v>1</v>
      </c>
      <c r="H17" s="66">
        <v>50</v>
      </c>
      <c r="J17" s="116"/>
      <c r="K17" s="120"/>
      <c r="L17" s="120" t="str">
        <f t="shared" si="4"/>
        <v>FTE-TRADSL</v>
      </c>
      <c r="M17" s="121" t="str">
        <f t="shared" si="5"/>
        <v>Sector Fuel Technology Existing Transport Diesel oil</v>
      </c>
      <c r="N17" s="120" t="str">
        <f t="shared" si="6"/>
        <v>PJ</v>
      </c>
      <c r="O17" s="120" t="str">
        <f t="shared" si="7"/>
        <v>PJa</v>
      </c>
      <c r="P17" s="120"/>
      <c r="Q17" s="120"/>
      <c r="R17" s="120"/>
    </row>
    <row r="18" spans="2:18" ht="12.75">
      <c r="B18" t="str">
        <f t="shared" si="1"/>
        <v>FTE-TRALPG</v>
      </c>
      <c r="C18" t="str">
        <f t="shared" si="2"/>
        <v>LPG</v>
      </c>
      <c r="D18" t="str">
        <f t="shared" si="3"/>
        <v>TRALPG</v>
      </c>
      <c r="E18" s="12"/>
      <c r="F18" s="12"/>
      <c r="G18" s="65">
        <v>1</v>
      </c>
      <c r="H18" s="66">
        <v>50</v>
      </c>
      <c r="J18" s="120"/>
      <c r="K18" s="120"/>
      <c r="L18" s="120" t="str">
        <f t="shared" si="4"/>
        <v>FTE-TRALPG</v>
      </c>
      <c r="M18" s="121" t="str">
        <f t="shared" si="5"/>
        <v>Sector Fuel Technology Existing Transport LPG</v>
      </c>
      <c r="N18" s="120" t="str">
        <f t="shared" si="6"/>
        <v>PJ</v>
      </c>
      <c r="O18" s="120" t="str">
        <f t="shared" si="7"/>
        <v>PJa</v>
      </c>
      <c r="P18" s="120"/>
      <c r="Q18" s="120"/>
      <c r="R18" s="120"/>
    </row>
    <row r="19" spans="2:18" ht="12.75">
      <c r="B19" t="str">
        <f t="shared" si="1"/>
        <v>FTE-TRAGSL</v>
      </c>
      <c r="C19" t="str">
        <f t="shared" si="2"/>
        <v>GSL</v>
      </c>
      <c r="D19" t="str">
        <f t="shared" si="3"/>
        <v>TRAGSL</v>
      </c>
      <c r="E19" s="12"/>
      <c r="F19" s="12"/>
      <c r="G19" s="65">
        <v>1</v>
      </c>
      <c r="H19" s="66">
        <v>50</v>
      </c>
      <c r="J19" s="120"/>
      <c r="K19" s="120"/>
      <c r="L19" s="120" t="str">
        <f t="shared" si="4"/>
        <v>FTE-TRAGSL</v>
      </c>
      <c r="M19" s="121" t="str">
        <f t="shared" si="5"/>
        <v>Sector Fuel Technology Existing Transport Motor spirit</v>
      </c>
      <c r="N19" s="120" t="str">
        <f t="shared" si="6"/>
        <v>PJ</v>
      </c>
      <c r="O19" s="120" t="str">
        <f t="shared" si="7"/>
        <v>PJa</v>
      </c>
      <c r="P19" s="120"/>
      <c r="Q19" s="120"/>
      <c r="R19" s="120"/>
    </row>
    <row r="20" spans="2:18" ht="12.75">
      <c r="B20" t="str">
        <f t="shared" si="1"/>
        <v>FTE-TRABIO</v>
      </c>
      <c r="C20" t="str">
        <f t="shared" si="2"/>
        <v>BIO</v>
      </c>
      <c r="D20" t="str">
        <f t="shared" si="3"/>
        <v>TRABIO</v>
      </c>
      <c r="E20" s="12"/>
      <c r="F20" s="12"/>
      <c r="G20" s="65">
        <v>1</v>
      </c>
      <c r="H20" s="66">
        <v>50</v>
      </c>
      <c r="J20" s="120"/>
      <c r="K20" s="120"/>
      <c r="L20" s="120" t="str">
        <f t="shared" si="4"/>
        <v>FTE-TRABIO</v>
      </c>
      <c r="M20" s="121" t="str">
        <f t="shared" si="5"/>
        <v>Sector Fuel Technology Existing Transport Biofuels</v>
      </c>
      <c r="N20" s="120" t="str">
        <f t="shared" si="6"/>
        <v>PJ</v>
      </c>
      <c r="O20" s="120" t="str">
        <f t="shared" si="7"/>
        <v>PJa</v>
      </c>
      <c r="P20" s="120"/>
      <c r="Q20" s="120"/>
      <c r="R20" s="120"/>
    </row>
    <row r="21" spans="2:18" ht="12.75">
      <c r="B21" t="str">
        <f t="shared" si="1"/>
        <v>FTE-TRAELC</v>
      </c>
      <c r="C21" t="str">
        <f t="shared" si="2"/>
        <v>ELC</v>
      </c>
      <c r="D21" t="str">
        <f t="shared" si="3"/>
        <v>TRAELC</v>
      </c>
      <c r="E21" s="12"/>
      <c r="F21" s="12"/>
      <c r="G21" s="65">
        <v>1</v>
      </c>
      <c r="H21" s="66">
        <v>50</v>
      </c>
      <c r="J21" s="120"/>
      <c r="K21" s="120"/>
      <c r="L21" s="120" t="str">
        <f t="shared" si="4"/>
        <v>FTE-TRAELC</v>
      </c>
      <c r="M21" s="121" t="str">
        <f t="shared" si="5"/>
        <v>Sector Fuel Technology Existing Transport Electricity</v>
      </c>
      <c r="N21" s="120" t="str">
        <f t="shared" si="6"/>
        <v>PJ</v>
      </c>
      <c r="O21" s="120" t="str">
        <f t="shared" si="7"/>
        <v>PJa</v>
      </c>
      <c r="P21" s="120" t="s">
        <v>125</v>
      </c>
      <c r="Q21" s="120"/>
      <c r="R21" s="120"/>
    </row>
    <row r="22" spans="5:13" ht="12.75">
      <c r="E22" s="12"/>
      <c r="F22" s="12"/>
      <c r="G22" s="70"/>
      <c r="H22" s="11"/>
      <c r="M22" s="19"/>
    </row>
    <row r="23" spans="5:13" ht="12.75">
      <c r="E23" s="12"/>
      <c r="F23" s="12"/>
      <c r="G23" s="70"/>
      <c r="H23" s="11"/>
      <c r="M23" s="19"/>
    </row>
    <row r="24" spans="2:13" ht="12.75">
      <c r="B24" s="23"/>
      <c r="D24" s="23"/>
      <c r="E24" s="12"/>
      <c r="F24" s="12"/>
      <c r="G24" s="70"/>
      <c r="H24" s="11"/>
      <c r="M24" s="19"/>
    </row>
    <row r="25" spans="2:13" ht="12.75">
      <c r="B25" s="23"/>
      <c r="D25" s="23"/>
      <c r="E25" s="12"/>
      <c r="F25" s="12"/>
      <c r="G25" s="70"/>
      <c r="H25" s="11"/>
      <c r="J25" s="23"/>
      <c r="K25" s="23"/>
      <c r="M25" s="19"/>
    </row>
    <row r="26" spans="2:13" ht="12.75">
      <c r="B26" s="23"/>
      <c r="D26" s="23"/>
      <c r="E26" s="94"/>
      <c r="F26" s="12"/>
      <c r="G26" s="70"/>
      <c r="H26" s="11"/>
      <c r="J26" s="23"/>
      <c r="K26" s="23"/>
      <c r="M26" s="19"/>
    </row>
    <row r="27" spans="2:13" ht="12.75">
      <c r="B27" s="23"/>
      <c r="D27" s="23"/>
      <c r="E27" s="94"/>
      <c r="F27" s="12"/>
      <c r="G27" s="70"/>
      <c r="H27" s="11"/>
      <c r="J27" s="23"/>
      <c r="K27" s="23"/>
      <c r="M27" s="19"/>
    </row>
    <row r="28" spans="2:13" ht="12.75">
      <c r="B28" s="23"/>
      <c r="D28" s="23"/>
      <c r="E28" s="94"/>
      <c r="F28" s="12"/>
      <c r="G28" s="70"/>
      <c r="H28" s="11"/>
      <c r="M28" s="19"/>
    </row>
    <row r="29" spans="2:8" ht="12.75">
      <c r="B29" s="23"/>
      <c r="D29" s="23"/>
      <c r="E29" s="94"/>
      <c r="F29" s="12"/>
      <c r="G29" s="70"/>
      <c r="H29" s="11"/>
    </row>
    <row r="30" spans="2:8" ht="12.75">
      <c r="B30" s="23"/>
      <c r="D30" s="23"/>
      <c r="E30" s="12"/>
      <c r="F30" s="12"/>
      <c r="G30" s="70"/>
      <c r="H30" s="11"/>
    </row>
    <row r="31" spans="2:8" ht="12.75">
      <c r="B31" s="23"/>
      <c r="D31" s="23"/>
      <c r="E31" s="12"/>
      <c r="F31" s="12"/>
      <c r="G31" s="70"/>
      <c r="H31" s="11"/>
    </row>
    <row r="35" spans="2:3" ht="12.75">
      <c r="B35" s="44"/>
      <c r="C35" s="1" t="s">
        <v>159</v>
      </c>
    </row>
    <row r="36" spans="2:3" ht="12.75">
      <c r="B36" s="64"/>
      <c r="C36" s="1" t="s">
        <v>160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2"/>
  <sheetViews>
    <sheetView zoomScale="90" zoomScaleNormal="90" workbookViewId="0" topLeftCell="A2">
      <selection pane="topLeft" activeCell="S18" sqref="S18"/>
    </sheetView>
  </sheetViews>
  <sheetFormatPr defaultRowHeight="12.75"/>
  <cols>
    <col min="1" max="1" width="3" customWidth="1"/>
    <col min="2" max="2" width="12.1428571428571" bestFit="1" customWidth="1"/>
    <col min="3" max="3" width="12" customWidth="1"/>
    <col min="4" max="4" width="13.8571428571429" customWidth="1"/>
    <col min="5" max="5" width="12.2857142857143" bestFit="1" customWidth="1"/>
    <col min="6" max="6" width="13.1428571428571" bestFit="1" customWidth="1"/>
    <col min="7" max="7" width="10.5714285714286" bestFit="1" customWidth="1"/>
    <col min="8" max="8" width="15.1428571428571" bestFit="1" customWidth="1"/>
    <col min="9" max="9" width="15.5714285714286" bestFit="1" customWidth="1"/>
    <col min="10" max="10" width="8.85714285714286" customWidth="1"/>
    <col min="11" max="11" width="13.5714285714286" bestFit="1" customWidth="1"/>
    <col min="12" max="12" width="2" bestFit="1" customWidth="1"/>
    <col min="13" max="13" width="13.8571428571429" customWidth="1"/>
    <col min="14" max="14" width="2" customWidth="1"/>
    <col min="15" max="15" width="12.4285714285714" customWidth="1"/>
    <col min="16" max="16" width="7.14285714285714" customWidth="1"/>
    <col min="17" max="17" width="11" customWidth="1"/>
    <col min="18" max="18" width="63.4285714285714" bestFit="1" customWidth="1"/>
    <col min="19" max="19" width="7.71428571428571" customWidth="1"/>
    <col min="20" max="20" width="12" customWidth="1"/>
    <col min="21" max="21" width="12.8571428571429" bestFit="1" customWidth="1"/>
    <col min="22" max="22" width="13.2857142857143" customWidth="1"/>
    <col min="23" max="23" width="8" bestFit="1" customWidth="1"/>
  </cols>
  <sheetData>
    <row r="1" spans="2:9" ht="15">
      <c r="B1" s="8" t="s">
        <v>73</v>
      </c>
      <c r="C1" s="8" t="s">
        <v>75</v>
      </c>
      <c r="D1" s="8" t="s">
        <v>114</v>
      </c>
      <c r="E1" s="8" t="s">
        <v>77</v>
      </c>
      <c r="F1" s="8" t="s">
        <v>78</v>
      </c>
      <c r="G1" s="8" t="s">
        <v>143</v>
      </c>
      <c r="H1" s="8" t="s">
        <v>100</v>
      </c>
      <c r="I1" s="30"/>
    </row>
    <row r="2" spans="2:23" ht="31.5">
      <c r="B2" s="10" t="str">
        <f>'EB2'!B9</f>
        <v>TRA</v>
      </c>
      <c r="C2" s="10" t="str">
        <f>'EB2'!C9</f>
        <v>Transport</v>
      </c>
      <c r="D2" s="18" t="s">
        <v>115</v>
      </c>
      <c r="E2" s="10" t="str">
        <f>'EB2'!Z2</f>
        <v>PJ</v>
      </c>
      <c r="F2" s="10" t="str">
        <f>'EB2'!Y2</f>
        <v>M€2005</v>
      </c>
      <c r="G2" s="31" t="s">
        <v>144</v>
      </c>
      <c r="H2" s="10" t="s">
        <v>101</v>
      </c>
      <c r="I2" s="9"/>
      <c r="O2" s="115" t="s">
        <v>14</v>
      </c>
      <c r="P2" s="115"/>
      <c r="Q2" s="116"/>
      <c r="R2" s="116"/>
      <c r="S2" s="116"/>
      <c r="T2" s="116"/>
      <c r="U2" s="116"/>
      <c r="V2" s="116"/>
      <c r="W2" s="116"/>
    </row>
    <row r="3" spans="15:23" ht="12.75">
      <c r="O3" s="117" t="s">
        <v>7</v>
      </c>
      <c r="P3" s="118" t="s">
        <v>30</v>
      </c>
      <c r="Q3" s="117" t="s">
        <v>0</v>
      </c>
      <c r="R3" s="117" t="s">
        <v>3</v>
      </c>
      <c r="S3" s="117" t="s">
        <v>4</v>
      </c>
      <c r="T3" s="117" t="s">
        <v>8</v>
      </c>
      <c r="U3" s="117" t="s">
        <v>9</v>
      </c>
      <c r="V3" s="117" t="s">
        <v>10</v>
      </c>
      <c r="W3" s="117" t="s">
        <v>12</v>
      </c>
    </row>
    <row r="4" spans="2:23" ht="24" thickBot="1">
      <c r="B4" s="9"/>
      <c r="C4" s="9"/>
      <c r="D4" s="9"/>
      <c r="E4" s="9"/>
      <c r="F4" s="9"/>
      <c r="O4" s="119" t="s">
        <v>37</v>
      </c>
      <c r="P4" s="119" t="s">
        <v>31</v>
      </c>
      <c r="Q4" s="119" t="s">
        <v>26</v>
      </c>
      <c r="R4" s="119" t="s">
        <v>27</v>
      </c>
      <c r="S4" s="119" t="s">
        <v>4</v>
      </c>
      <c r="T4" s="119" t="s">
        <v>40</v>
      </c>
      <c r="U4" s="119" t="s">
        <v>41</v>
      </c>
      <c r="V4" s="119" t="s">
        <v>28</v>
      </c>
      <c r="W4" s="119" t="s">
        <v>29</v>
      </c>
    </row>
    <row r="5" spans="2:23" ht="15.75">
      <c r="B5" s="9"/>
      <c r="C5" s="9"/>
      <c r="D5" s="9"/>
      <c r="E5" s="9"/>
      <c r="F5" s="9"/>
      <c r="O5" s="116" t="s">
        <v>83</v>
      </c>
      <c r="P5" s="120"/>
      <c r="Q5" s="116" t="str">
        <f>LEFT($O$5,1)&amp;LEFT($B$2,1)&amp;'EB2'!$C$25</f>
        <v>DTCAR</v>
      </c>
      <c r="R5" s="116" t="str">
        <f>LEFT($D$2,6)&amp;" "&amp;$C$2&amp;" Sector - "&amp;'EB2'!$X$25</f>
        <v>Demand Transport Sector - Cars</v>
      </c>
      <c r="S5" s="116" t="s">
        <v>183</v>
      </c>
      <c r="T5" s="116"/>
      <c r="U5" s="116"/>
      <c r="V5" s="116"/>
      <c r="W5" s="116"/>
    </row>
    <row r="6" spans="2:23" ht="15.75">
      <c r="B6" s="9"/>
      <c r="C6" s="9"/>
      <c r="D6" s="9"/>
      <c r="E6" s="9"/>
      <c r="F6" s="9"/>
      <c r="O6" s="116"/>
      <c r="P6" s="120"/>
      <c r="Q6" s="116" t="str">
        <f>LEFT($O$5,1)&amp;LEFT($B$2,1)&amp;'EB2'!$C$26</f>
        <v>DTPUB</v>
      </c>
      <c r="R6" s="116" t="str">
        <f>LEFT($D$2,6)&amp;" "&amp;$C$2&amp;" Sector - "&amp;'EB2'!$X$26</f>
        <v>Demand Transport Sector - Pub</v>
      </c>
      <c r="S6" s="116" t="s">
        <v>183</v>
      </c>
      <c r="T6" s="116"/>
      <c r="U6" s="116"/>
      <c r="V6" s="116"/>
      <c r="W6" s="116"/>
    </row>
    <row r="7" spans="15:23" ht="12.75">
      <c r="O7" s="120" t="s">
        <v>105</v>
      </c>
      <c r="P7" s="120"/>
      <c r="Q7" s="120" t="str">
        <f>$B$2&amp;'EB2'!$C$29</f>
        <v>TRACO2</v>
      </c>
      <c r="R7" s="120" t="str">
        <f>$C$2&amp;" "&amp;'EB2'!$C$30</f>
        <v>Transport Carbon dioxide</v>
      </c>
      <c r="S7" s="120" t="str">
        <f>'EB2'!$AA$2</f>
        <v>kt</v>
      </c>
      <c r="T7" s="120"/>
      <c r="U7" s="120"/>
      <c r="V7" s="120"/>
      <c r="W7" s="120"/>
    </row>
    <row r="9" spans="4:23" ht="12.75">
      <c r="D9" s="5" t="s">
        <v>13</v>
      </c>
      <c r="E9" s="5"/>
      <c r="G9" s="5"/>
      <c r="I9" s="4"/>
      <c r="J9" s="14"/>
      <c r="O9" s="115" t="s">
        <v>15</v>
      </c>
      <c r="P9" s="115"/>
      <c r="Q9" s="120"/>
      <c r="R9" s="120"/>
      <c r="S9" s="120"/>
      <c r="T9" s="120"/>
      <c r="U9" s="120"/>
      <c r="V9" s="120"/>
      <c r="W9" s="120"/>
    </row>
    <row r="10" spans="2:23" ht="12.75">
      <c r="B10" s="17" t="s">
        <v>1</v>
      </c>
      <c r="C10" s="17" t="s">
        <v>5</v>
      </c>
      <c r="D10" s="17" t="s">
        <v>6</v>
      </c>
      <c r="E10" s="71" t="s">
        <v>127</v>
      </c>
      <c r="F10" s="71" t="s">
        <v>85</v>
      </c>
      <c r="G10" s="71" t="s">
        <v>98</v>
      </c>
      <c r="H10" s="71" t="s">
        <v>146</v>
      </c>
      <c r="I10" s="71" t="s">
        <v>84</v>
      </c>
      <c r="J10" s="71" t="s">
        <v>79</v>
      </c>
      <c r="K10" s="71" t="s">
        <v>178</v>
      </c>
      <c r="L10" s="25"/>
      <c r="M10" s="29" t="s">
        <v>118</v>
      </c>
      <c r="O10" s="117" t="s">
        <v>11</v>
      </c>
      <c r="P10" s="118" t="s">
        <v>30</v>
      </c>
      <c r="Q10" s="117" t="s">
        <v>1</v>
      </c>
      <c r="R10" s="117" t="s">
        <v>2</v>
      </c>
      <c r="S10" s="117" t="s">
        <v>16</v>
      </c>
      <c r="T10" s="117" t="s">
        <v>17</v>
      </c>
      <c r="U10" s="117" t="s">
        <v>18</v>
      </c>
      <c r="V10" s="117" t="s">
        <v>19</v>
      </c>
      <c r="W10" s="117" t="s">
        <v>20</v>
      </c>
    </row>
    <row r="11" spans="2:23" ht="23.25" thickBot="1">
      <c r="B11" s="16" t="s">
        <v>39</v>
      </c>
      <c r="C11" s="16" t="s">
        <v>32</v>
      </c>
      <c r="D11" s="16" t="s">
        <v>33</v>
      </c>
      <c r="E11" s="16" t="s">
        <v>34</v>
      </c>
      <c r="F11" s="16" t="s">
        <v>90</v>
      </c>
      <c r="G11" s="85" t="s">
        <v>99</v>
      </c>
      <c r="H11" s="85" t="s">
        <v>148</v>
      </c>
      <c r="I11" s="16" t="s">
        <v>96</v>
      </c>
      <c r="J11" s="16" t="s">
        <v>177</v>
      </c>
      <c r="K11" s="16" t="s">
        <v>179</v>
      </c>
      <c r="L11" s="32"/>
      <c r="M11" s="113" t="s">
        <v>35</v>
      </c>
      <c r="O11" s="119" t="s">
        <v>38</v>
      </c>
      <c r="P11" s="119" t="s">
        <v>31</v>
      </c>
      <c r="Q11" s="119" t="s">
        <v>21</v>
      </c>
      <c r="R11" s="119" t="s">
        <v>22</v>
      </c>
      <c r="S11" s="119" t="s">
        <v>23</v>
      </c>
      <c r="T11" s="119" t="s">
        <v>24</v>
      </c>
      <c r="U11" s="119" t="s">
        <v>43</v>
      </c>
      <c r="V11" s="119" t="s">
        <v>42</v>
      </c>
      <c r="W11" s="119" t="s">
        <v>25</v>
      </c>
    </row>
    <row r="12" spans="2:23" ht="13.5" thickBot="1">
      <c r="B12" s="15" t="s">
        <v>91</v>
      </c>
      <c r="C12" s="15"/>
      <c r="D12" s="15"/>
      <c r="E12" s="13" t="str">
        <f>G2</f>
        <v>000_Units</v>
      </c>
      <c r="F12" s="13" t="s">
        <v>180</v>
      </c>
      <c r="G12" s="75" t="s">
        <v>151</v>
      </c>
      <c r="H12" s="73" t="s">
        <v>147</v>
      </c>
      <c r="I12" s="13" t="str">
        <f>$F$2&amp;"/"&amp;G2&amp;"a"</f>
        <v>M€2005/000_Unitsa</v>
      </c>
      <c r="J12" s="13" t="s">
        <v>92</v>
      </c>
      <c r="K12" s="13" t="s">
        <v>181</v>
      </c>
      <c r="L12" s="32"/>
      <c r="M12" s="114" t="s">
        <v>182</v>
      </c>
      <c r="O12" s="119" t="s">
        <v>81</v>
      </c>
      <c r="P12" s="119"/>
      <c r="Q12" s="119"/>
      <c r="R12" s="119"/>
      <c r="S12" s="119"/>
      <c r="T12" s="119"/>
      <c r="U12" s="119"/>
      <c r="V12" s="119"/>
      <c r="W12" s="119"/>
    </row>
    <row r="13" spans="2:23" ht="12.75">
      <c r="B13" t="str">
        <f t="shared" si="0" ref="B13:B24">Q13</f>
        <v>TCAREGAS</v>
      </c>
      <c r="C13" t="str">
        <f t="shared" si="1" ref="C13:C24">$B$2&amp;RIGHT(B13,3)</f>
        <v>TRAGAS</v>
      </c>
      <c r="D13" t="str">
        <f t="shared" si="2" ref="D13:D18">$Q$5</f>
        <v>DTCAR</v>
      </c>
      <c r="E13" s="63">
        <f>('EB2'!E$9*'EB2'!$E$25*F13/(K13*G13))*1.01</f>
        <v>349.51569428571423</v>
      </c>
      <c r="F13" s="44">
        <v>0.38</v>
      </c>
      <c r="G13" s="44">
        <v>14</v>
      </c>
      <c r="H13" s="67">
        <v>1.25</v>
      </c>
      <c r="I13" s="67">
        <v>0.16</v>
      </c>
      <c r="J13" s="44">
        <v>10</v>
      </c>
      <c r="K13" s="69">
        <v>0.001</v>
      </c>
      <c r="M13" s="29">
        <f>E13*G13*K13*H13</f>
        <v>6.1165246499999988</v>
      </c>
      <c r="O13" s="116" t="s">
        <v>97</v>
      </c>
      <c r="P13" s="120"/>
      <c r="Q13" s="120" t="str">
        <f>LEFT($B$2)&amp;'EB2'!$C$25&amp;$H$2&amp;'EB2'!$E$2</f>
        <v>TCAREGAS</v>
      </c>
      <c r="R13" s="121" t="str">
        <f>$D$2&amp;" "&amp;$C$2&amp;" Sector - "&amp;""&amp;$H$1&amp;" "&amp;'EB2'!$X$25&amp;" - "&amp;'EB2'!$E$3</f>
        <v>Demand Technologies Transport Sector - Existing Cars - Natural Gas</v>
      </c>
      <c r="S13" s="116" t="s">
        <v>183</v>
      </c>
      <c r="T13" s="116" t="str">
        <f t="shared" si="3" ref="T13:T24">$G$2</f>
        <v>000_Units</v>
      </c>
      <c r="U13" s="120"/>
      <c r="V13" s="116" t="s">
        <v>145</v>
      </c>
      <c r="W13" s="120"/>
    </row>
    <row r="14" spans="2:23" ht="12.75">
      <c r="B14" t="str">
        <f t="shared" si="0"/>
        <v>TCAREDSL</v>
      </c>
      <c r="C14" t="str">
        <f t="shared" si="1"/>
        <v>TRADSL</v>
      </c>
      <c r="D14" t="str">
        <f t="shared" si="2"/>
        <v>DTCAR</v>
      </c>
      <c r="E14" s="63">
        <f>('EB2'!G$9*'EB2'!$G$25*F14/(K14*G14))*1.01</f>
        <v>87102.97230272727</v>
      </c>
      <c r="F14" s="67">
        <v>0.41</v>
      </c>
      <c r="G14" s="62">
        <v>16.50</v>
      </c>
      <c r="H14" s="67">
        <v>1.25</v>
      </c>
      <c r="I14" s="67">
        <v>0.16</v>
      </c>
      <c r="J14" s="44">
        <v>10</v>
      </c>
      <c r="K14" s="69">
        <v>0.001</v>
      </c>
      <c r="M14" s="29">
        <f t="shared" si="4" ref="M14:M22">E14*G14*K14*H14</f>
        <v>1796.4988037437502</v>
      </c>
      <c r="O14" s="120"/>
      <c r="P14" s="120"/>
      <c r="Q14" s="120" t="str">
        <f>LEFT($B$2)&amp;'EB2'!$C$25&amp;$H$2&amp;'EB2'!$G$2</f>
        <v>TCAREDSL</v>
      </c>
      <c r="R14" s="121" t="str">
        <f>$D$2&amp;" "&amp;$C$2&amp;" Sector - "&amp;""&amp;$H$1&amp;" "&amp;'EB2'!$X$25&amp;" - "&amp;'EB2'!$G$3</f>
        <v>Demand Technologies Transport Sector - Existing Cars - Diesel oil</v>
      </c>
      <c r="S14" s="116" t="s">
        <v>183</v>
      </c>
      <c r="T14" s="116" t="str">
        <f t="shared" si="3"/>
        <v>000_Units</v>
      </c>
      <c r="U14" s="120"/>
      <c r="V14" s="116" t="s">
        <v>145</v>
      </c>
      <c r="W14" s="120"/>
    </row>
    <row r="15" spans="2:23" ht="12.75">
      <c r="B15" t="str">
        <f t="shared" si="0"/>
        <v>TCARELPG</v>
      </c>
      <c r="C15" t="str">
        <f t="shared" si="1"/>
        <v>TRALPG</v>
      </c>
      <c r="D15" t="str">
        <f t="shared" si="2"/>
        <v>DTCAR</v>
      </c>
      <c r="E15" s="63">
        <f>('EB2'!I$9*'EB2'!$I$25*F15/(K15*G15))*1.01</f>
        <v>2583.2755571428575</v>
      </c>
      <c r="F15" s="67">
        <v>0.38</v>
      </c>
      <c r="G15" s="62">
        <v>14</v>
      </c>
      <c r="H15" s="67">
        <v>1.25</v>
      </c>
      <c r="I15" s="68">
        <v>0.16</v>
      </c>
      <c r="J15" s="44">
        <v>10</v>
      </c>
      <c r="K15" s="69">
        <v>0.001</v>
      </c>
      <c r="M15" s="29">
        <f t="shared" si="4"/>
        <v>45.207322250000004</v>
      </c>
      <c r="O15" s="120"/>
      <c r="P15" s="120"/>
      <c r="Q15" s="120" t="str">
        <f>LEFT($B$2)&amp;'EB2'!$C$25&amp;$H$2&amp;'EB2'!$I$2</f>
        <v>TCARELPG</v>
      </c>
      <c r="R15" s="121" t="str">
        <f>$D$2&amp;" "&amp;$C$2&amp;" Sector - "&amp;""&amp;$H$1&amp;" "&amp;'EB2'!$X$25&amp;" - "&amp;'EB2'!$I$3</f>
        <v>Demand Technologies Transport Sector - Existing Cars - LPG</v>
      </c>
      <c r="S15" s="116" t="s">
        <v>183</v>
      </c>
      <c r="T15" s="116" t="str">
        <f t="shared" si="3"/>
        <v>000_Units</v>
      </c>
      <c r="U15" s="120"/>
      <c r="V15" s="116" t="s">
        <v>145</v>
      </c>
      <c r="W15" s="120"/>
    </row>
    <row r="16" spans="2:23" ht="12.75">
      <c r="B16" t="str">
        <f t="shared" si="0"/>
        <v>TCAREGSL</v>
      </c>
      <c r="C16" t="str">
        <f t="shared" si="1"/>
        <v>TRAGSL</v>
      </c>
      <c r="D16" t="str">
        <f t="shared" si="2"/>
        <v>DTCAR</v>
      </c>
      <c r="E16" s="63">
        <f>('EB2'!J$9*'EB2'!$J$25*F16/(K16*G16))*1.01</f>
        <v>84109.849043478273</v>
      </c>
      <c r="F16" s="68">
        <v>0.40</v>
      </c>
      <c r="G16" s="62">
        <v>11.50</v>
      </c>
      <c r="H16" s="67">
        <v>1.25</v>
      </c>
      <c r="I16" s="67">
        <v>0.15</v>
      </c>
      <c r="J16" s="44">
        <v>10</v>
      </c>
      <c r="K16" s="69">
        <v>0.001</v>
      </c>
      <c r="M16" s="29">
        <f t="shared" si="4"/>
        <v>1209.07908</v>
      </c>
      <c r="O16" s="120"/>
      <c r="P16" s="120"/>
      <c r="Q16" s="120" t="str">
        <f>LEFT($B$2)&amp;'EB2'!$C$25&amp;$H$2&amp;'EB2'!$J$2</f>
        <v>TCAREGSL</v>
      </c>
      <c r="R16" s="120" t="str">
        <f>$D$2&amp;" "&amp;$C$2&amp;" Sector - "&amp;""&amp;$H$1&amp;" "&amp;'EB2'!$X$25&amp;" - "&amp;'EB2'!$J$3</f>
        <v>Demand Technologies Transport Sector - Existing Cars - Motor spirit</v>
      </c>
      <c r="S16" s="116" t="s">
        <v>183</v>
      </c>
      <c r="T16" s="116" t="str">
        <f t="shared" si="3"/>
        <v>000_Units</v>
      </c>
      <c r="U16" s="120"/>
      <c r="V16" s="116" t="s">
        <v>145</v>
      </c>
      <c r="W16" s="120"/>
    </row>
    <row r="17" spans="2:23" ht="12.75">
      <c r="B17" t="str">
        <f>Q17</f>
        <v>TCAREBIO</v>
      </c>
      <c r="C17" t="str">
        <f>$B$2&amp;RIGHT(B17,3)</f>
        <v>TRABIO</v>
      </c>
      <c r="D17" t="str">
        <f t="shared" si="2"/>
        <v>DTCAR</v>
      </c>
      <c r="E17" s="63">
        <f>('EB2'!O$9*'EB2'!$O$25*F17/(K17*G17))*1.01</f>
        <v>707.00000000000011</v>
      </c>
      <c r="F17" s="68">
        <v>0.40</v>
      </c>
      <c r="G17" s="62">
        <v>11.50</v>
      </c>
      <c r="H17" s="67">
        <v>1.25</v>
      </c>
      <c r="I17" s="67">
        <v>0.15</v>
      </c>
      <c r="J17" s="44">
        <v>10</v>
      </c>
      <c r="K17" s="69">
        <v>0.001</v>
      </c>
      <c r="M17" s="29">
        <f>E17*G17*K17*H17</f>
        <v>10.163125000000001</v>
      </c>
      <c r="O17" s="120"/>
      <c r="P17" s="120"/>
      <c r="Q17" s="120" t="str">
        <f>LEFT($B$2)&amp;'EB2'!$C$25&amp;$H$2&amp;'EB2'!$O$2</f>
        <v>TCAREBIO</v>
      </c>
      <c r="R17" s="120" t="str">
        <f>$D$2&amp;" "&amp;$C$2&amp;" Sector - "&amp;""&amp;$H$1&amp;" "&amp;'EB2'!$X$25&amp;" - "&amp;'EB2'!$O$3</f>
        <v>Demand Technologies Transport Sector - Existing Cars - Biofuels</v>
      </c>
      <c r="S17" s="116" t="s">
        <v>183</v>
      </c>
      <c r="T17" s="116" t="str">
        <f t="shared" si="3"/>
        <v>000_Units</v>
      </c>
      <c r="U17" s="120"/>
      <c r="V17" s="116" t="s">
        <v>145</v>
      </c>
      <c r="W17" s="120"/>
    </row>
    <row r="18" spans="2:23" ht="12.75">
      <c r="B18" s="6" t="str">
        <f t="shared" si="0"/>
        <v>TCAREELC</v>
      </c>
      <c r="C18" s="6" t="str">
        <f t="shared" si="1"/>
        <v>TRAELC</v>
      </c>
      <c r="D18" s="6" t="str">
        <f t="shared" si="2"/>
        <v>DTCAR</v>
      </c>
      <c r="E18" s="77">
        <f>('EB2'!U$9*'EB2'!$U$25*F18/(K18*G18))*1.01</f>
        <v>0</v>
      </c>
      <c r="F18" s="95">
        <v>0.40</v>
      </c>
      <c r="G18" s="96">
        <v>11.50</v>
      </c>
      <c r="H18" s="97">
        <v>1.25</v>
      </c>
      <c r="I18" s="97">
        <v>0.15</v>
      </c>
      <c r="J18" s="98">
        <v>10</v>
      </c>
      <c r="K18" s="99">
        <v>0.001</v>
      </c>
      <c r="L18" s="6"/>
      <c r="M18" s="100">
        <f t="shared" si="4"/>
        <v>0</v>
      </c>
      <c r="O18" s="123"/>
      <c r="P18" s="123"/>
      <c r="Q18" s="123" t="str">
        <f>LEFT($B$2)&amp;'EB2'!$C$25&amp;$H$2&amp;'EB2'!$U$2</f>
        <v>TCAREELC</v>
      </c>
      <c r="R18" s="123" t="str">
        <f>$D$2&amp;" "&amp;$C$2&amp;" Sector - "&amp;""&amp;$H$1&amp;" "&amp;'EB2'!$X$25&amp;" - "&amp;'EB2'!$U$3</f>
        <v>Demand Technologies Transport Sector - Existing Cars - Electricity</v>
      </c>
      <c r="S18" s="124" t="s">
        <v>183</v>
      </c>
      <c r="T18" s="124" t="str">
        <f t="shared" si="3"/>
        <v>000_Units</v>
      </c>
      <c r="U18" s="123"/>
      <c r="V18" s="124" t="s">
        <v>145</v>
      </c>
      <c r="W18" s="123"/>
    </row>
    <row r="19" spans="2:23" ht="12.75">
      <c r="B19" t="str">
        <f t="shared" si="0"/>
        <v>TPUBEGAS</v>
      </c>
      <c r="C19" t="str">
        <f t="shared" si="1"/>
        <v>TRAGAS</v>
      </c>
      <c r="D19" t="str">
        <f t="shared" si="5" ref="D19:D24">$Q$6</f>
        <v>DTPUB</v>
      </c>
      <c r="E19" s="63">
        <f>('EB2'!E$9*'EB2'!$E$26*F19/(K19*G19))*1.01</f>
        <v>0</v>
      </c>
      <c r="F19" s="67">
        <v>0.10</v>
      </c>
      <c r="G19" s="44">
        <v>50</v>
      </c>
      <c r="H19" s="67">
        <v>15</v>
      </c>
      <c r="I19" s="67">
        <v>0.24</v>
      </c>
      <c r="J19" s="44">
        <v>30</v>
      </c>
      <c r="K19" s="69">
        <v>0.001</v>
      </c>
      <c r="M19" s="29">
        <f>E19*G19*K19*H19</f>
        <v>0</v>
      </c>
      <c r="O19" s="120"/>
      <c r="P19" s="120"/>
      <c r="Q19" s="120" t="str">
        <f>LEFT($B$2)&amp;'EB2'!$C$26&amp;$H$2&amp;'EB2'!$E$2</f>
        <v>TPUBEGAS</v>
      </c>
      <c r="R19" s="121" t="str">
        <f>$D$2&amp;" "&amp;$C$2&amp;" Sector - "&amp;""&amp;$H$1&amp;" "&amp;'EB2'!$X$26&amp;" - "&amp;'EB2'!$E$3</f>
        <v>Demand Technologies Transport Sector - Existing Pub - Natural Gas</v>
      </c>
      <c r="S19" s="116" t="s">
        <v>183</v>
      </c>
      <c r="T19" s="116" t="str">
        <f t="shared" si="3"/>
        <v>000_Units</v>
      </c>
      <c r="U19" s="120"/>
      <c r="V19" s="116" t="s">
        <v>145</v>
      </c>
      <c r="W19" s="120"/>
    </row>
    <row r="20" spans="2:23" ht="12.75">
      <c r="B20" t="str">
        <f t="shared" si="0"/>
        <v>TPUBEDSL</v>
      </c>
      <c r="C20" t="str">
        <f t="shared" si="1"/>
        <v>TRADSL</v>
      </c>
      <c r="D20" t="str">
        <f t="shared" si="5"/>
        <v>DTPUB</v>
      </c>
      <c r="E20" s="63">
        <f>('EB2'!G$9*'EB2'!$G$26*F20/(K20*G20))*1.01</f>
        <v>1168.4545064999998</v>
      </c>
      <c r="F20" s="67">
        <v>0.15</v>
      </c>
      <c r="G20" s="62">
        <v>50</v>
      </c>
      <c r="H20" s="67">
        <v>15</v>
      </c>
      <c r="I20" s="67">
        <v>0.24</v>
      </c>
      <c r="J20" s="44">
        <v>30</v>
      </c>
      <c r="K20" s="69">
        <v>0.001</v>
      </c>
      <c r="M20" s="29">
        <f>E20*G20*K20*H20</f>
        <v>876.34087987499981</v>
      </c>
      <c r="O20" s="120"/>
      <c r="P20" s="120"/>
      <c r="Q20" s="120" t="str">
        <f>LEFT($B$2)&amp;'EB2'!$C$26&amp;$H$2&amp;'EB2'!$G$2</f>
        <v>TPUBEDSL</v>
      </c>
      <c r="R20" s="121" t="str">
        <f>$D$2&amp;" "&amp;$C$2&amp;" Sector - "&amp;""&amp;$H$1&amp;" "&amp;'EB2'!$X$26&amp;" - "&amp;'EB2'!$G$3</f>
        <v>Demand Technologies Transport Sector - Existing Pub - Diesel oil</v>
      </c>
      <c r="S20" s="116" t="s">
        <v>183</v>
      </c>
      <c r="T20" s="116" t="str">
        <f t="shared" si="3"/>
        <v>000_Units</v>
      </c>
      <c r="U20" s="120"/>
      <c r="V20" s="116" t="s">
        <v>145</v>
      </c>
      <c r="W20" s="120"/>
    </row>
    <row r="21" spans="2:23" ht="12.75">
      <c r="B21" t="str">
        <f t="shared" si="0"/>
        <v>TPUBELPG</v>
      </c>
      <c r="C21" t="str">
        <f t="shared" si="1"/>
        <v>TRALPG</v>
      </c>
      <c r="D21" t="str">
        <f t="shared" si="5"/>
        <v>DTPUB</v>
      </c>
      <c r="E21" s="63">
        <f>('EB2'!I$9*'EB2'!$I$26*F21/(K21*G21))*1.01</f>
        <v>0</v>
      </c>
      <c r="F21" s="67">
        <v>0.10</v>
      </c>
      <c r="G21" s="62">
        <v>50</v>
      </c>
      <c r="H21" s="67">
        <v>15</v>
      </c>
      <c r="I21" s="68">
        <v>0.24</v>
      </c>
      <c r="J21" s="44">
        <v>30</v>
      </c>
      <c r="K21" s="69">
        <v>0.001</v>
      </c>
      <c r="M21" s="29">
        <f>E21*G21*K21*H21</f>
        <v>0</v>
      </c>
      <c r="O21" s="120"/>
      <c r="P21" s="120"/>
      <c r="Q21" s="120" t="str">
        <f>LEFT($B$2)&amp;'EB2'!$C$26&amp;$H$2&amp;'EB2'!$I$2</f>
        <v>TPUBELPG</v>
      </c>
      <c r="R21" s="121" t="str">
        <f>$D$2&amp;" "&amp;$C$2&amp;" Sector - "&amp;""&amp;$H$1&amp;" "&amp;'EB2'!$X$26&amp;" - "&amp;'EB2'!$I$3</f>
        <v>Demand Technologies Transport Sector - Existing Pub - LPG</v>
      </c>
      <c r="S21" s="116" t="s">
        <v>183</v>
      </c>
      <c r="T21" s="116" t="str">
        <f t="shared" si="3"/>
        <v>000_Units</v>
      </c>
      <c r="U21" s="120"/>
      <c r="V21" s="116" t="s">
        <v>145</v>
      </c>
      <c r="W21" s="120"/>
    </row>
    <row r="22" spans="2:23" ht="12.75">
      <c r="B22" t="str">
        <f t="shared" si="0"/>
        <v>TPUBEGSL</v>
      </c>
      <c r="C22" t="str">
        <f t="shared" si="1"/>
        <v>TRAGSL</v>
      </c>
      <c r="D22" t="str">
        <f t="shared" si="5"/>
        <v>DTPUB</v>
      </c>
      <c r="E22" s="63">
        <f>('EB2'!J$9*'EB2'!$J$26*F22/(K22*G22))*1.01</f>
        <v>0</v>
      </c>
      <c r="F22" s="68">
        <v>0.15</v>
      </c>
      <c r="G22" s="62">
        <v>20</v>
      </c>
      <c r="H22" s="67">
        <v>15</v>
      </c>
      <c r="I22" s="67">
        <v>0.22499999999999998</v>
      </c>
      <c r="J22" s="44">
        <v>30</v>
      </c>
      <c r="K22" s="69">
        <v>0.001</v>
      </c>
      <c r="M22" s="29">
        <f t="shared" si="4"/>
        <v>0</v>
      </c>
      <c r="O22" s="120"/>
      <c r="P22" s="120"/>
      <c r="Q22" s="120" t="str">
        <f>LEFT($B$2)&amp;'EB2'!$C$26&amp;$H$2&amp;'EB2'!$J$2</f>
        <v>TPUBEGSL</v>
      </c>
      <c r="R22" s="120" t="str">
        <f>$D$2&amp;" "&amp;$C$2&amp;" Sector - "&amp;""&amp;$H$1&amp;" "&amp;'EB2'!$X$26&amp;" - "&amp;'EB2'!$J$3</f>
        <v>Demand Technologies Transport Sector - Existing Pub - Motor spirit</v>
      </c>
      <c r="S22" s="116" t="s">
        <v>183</v>
      </c>
      <c r="T22" s="116" t="str">
        <f t="shared" si="3"/>
        <v>000_Units</v>
      </c>
      <c r="U22" s="120"/>
      <c r="V22" s="116" t="s">
        <v>145</v>
      </c>
      <c r="W22" s="120"/>
    </row>
    <row r="23" spans="2:23" ht="12.75">
      <c r="B23" t="str">
        <f>Q23</f>
        <v>TPUBEBIO</v>
      </c>
      <c r="C23" t="str">
        <f>$B$2&amp;RIGHT(B23,3)</f>
        <v>TRABIO</v>
      </c>
      <c r="D23" t="str">
        <f t="shared" si="5"/>
        <v>DTPUB</v>
      </c>
      <c r="E23" s="63">
        <f>('EB2'!O$9*'EB2'!$O$26*F23/(K23*G23))*1.01</f>
        <v>152.44687500000001</v>
      </c>
      <c r="F23" s="68">
        <v>0.15</v>
      </c>
      <c r="G23" s="62">
        <v>20</v>
      </c>
      <c r="H23" s="67">
        <v>15</v>
      </c>
      <c r="I23" s="67">
        <v>0.22499999999999998</v>
      </c>
      <c r="J23" s="44">
        <v>30</v>
      </c>
      <c r="K23" s="69">
        <v>0.001</v>
      </c>
      <c r="M23" s="29">
        <f>E23*G23*K23*H23</f>
        <v>45.7340625</v>
      </c>
      <c r="O23" s="120"/>
      <c r="P23" s="120"/>
      <c r="Q23" s="120" t="str">
        <f>LEFT($B$2)&amp;'EB2'!$C$26&amp;$H$2&amp;'EB2'!$O$2</f>
        <v>TPUBEBIO</v>
      </c>
      <c r="R23" s="120" t="str">
        <f>$D$2&amp;" "&amp;$C$2&amp;" Sector - "&amp;""&amp;$H$1&amp;" "&amp;'EB2'!$X$26&amp;" - "&amp;'EB2'!$O$3</f>
        <v>Demand Technologies Transport Sector - Existing Pub - Biofuels</v>
      </c>
      <c r="S23" s="116" t="s">
        <v>183</v>
      </c>
      <c r="T23" s="116" t="str">
        <f t="shared" si="3"/>
        <v>000_Units</v>
      </c>
      <c r="U23" s="120"/>
      <c r="V23" s="116" t="s">
        <v>145</v>
      </c>
      <c r="W23" s="120"/>
    </row>
    <row r="24" spans="2:23" ht="12.75">
      <c r="B24" s="6" t="str">
        <f t="shared" si="0"/>
        <v>TPUBEELC</v>
      </c>
      <c r="C24" s="6" t="str">
        <f t="shared" si="1"/>
        <v>TRAELC</v>
      </c>
      <c r="D24" s="6" t="str">
        <f t="shared" si="5"/>
        <v>DTPUB</v>
      </c>
      <c r="E24" s="77">
        <f>('EB2'!U$9*'EB2'!$U$26*F24/(K24*G24))*1.01</f>
        <v>40.294757999999995</v>
      </c>
      <c r="F24" s="95">
        <v>0.03</v>
      </c>
      <c r="G24" s="96">
        <v>100</v>
      </c>
      <c r="H24" s="97">
        <v>200</v>
      </c>
      <c r="I24" s="97">
        <v>0.22499999999999998</v>
      </c>
      <c r="J24" s="98">
        <v>30</v>
      </c>
      <c r="K24" s="99">
        <v>0.001</v>
      </c>
      <c r="M24" s="100">
        <f>E24*G24*K24*H24</f>
        <v>805.89515999999981</v>
      </c>
      <c r="O24" s="123"/>
      <c r="P24" s="123"/>
      <c r="Q24" s="123" t="str">
        <f>LEFT($B$2)&amp;'EB2'!$C$26&amp;$H$2&amp;'EB2'!$U$2</f>
        <v>TPUBEELC</v>
      </c>
      <c r="R24" s="123" t="str">
        <f>$D$2&amp;" "&amp;$C$2&amp;" Sector - "&amp;""&amp;$H$1&amp;" "&amp;'EB2'!$X$26&amp;" - "&amp;'EB2'!$U$3</f>
        <v>Demand Technologies Transport Sector - Existing Pub - Electricity</v>
      </c>
      <c r="S24" s="124" t="s">
        <v>183</v>
      </c>
      <c r="T24" s="124" t="str">
        <f t="shared" si="3"/>
        <v>000_Units</v>
      </c>
      <c r="U24" s="123"/>
      <c r="V24" s="124" t="s">
        <v>145</v>
      </c>
      <c r="W24" s="123"/>
    </row>
    <row r="27" spans="2:13" ht="12.75">
      <c r="B27" s="44"/>
      <c r="C27" s="1" t="s">
        <v>159</v>
      </c>
      <c r="K27" s="1"/>
      <c r="L27" s="1"/>
      <c r="M27" s="1"/>
    </row>
    <row r="28" spans="2:14" ht="12.75">
      <c r="B28" s="64"/>
      <c r="C28" s="1" t="s">
        <v>160</v>
      </c>
      <c r="K28" s="1"/>
      <c r="L28" s="1"/>
      <c r="M28" s="1"/>
      <c r="N28" s="1"/>
    </row>
    <row r="29" spans="11:14" ht="12.75">
      <c r="K29" s="1"/>
      <c r="L29" s="1"/>
      <c r="M29" s="1"/>
      <c r="N29" s="1"/>
    </row>
    <row r="30" spans="11:14" ht="12.75">
      <c r="K30" s="1"/>
      <c r="L30" s="1"/>
      <c r="M30" s="1"/>
      <c r="N30" s="1"/>
    </row>
    <row r="31" spans="5:14" ht="12.75">
      <c r="E31" s="1"/>
      <c r="N31" s="1"/>
    </row>
    <row r="32" spans="5:5" ht="12.75">
      <c r="E32" s="1"/>
    </row>
  </sheetData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24"/>
  <sheetViews>
    <sheetView tabSelected="1" workbookViewId="0" topLeftCell="A1">
      <selection pane="topLeft" activeCell="X17" sqref="X17"/>
    </sheetView>
  </sheetViews>
  <sheetFormatPr defaultRowHeight="12.75"/>
  <cols>
    <col min="1" max="1" width="2" bestFit="1" customWidth="1"/>
    <col min="2" max="2" width="12.5714285714286" customWidth="1"/>
    <col min="3" max="3" width="13.1428571428571" customWidth="1"/>
    <col min="4" max="4" width="11.5714285714286" customWidth="1"/>
    <col min="5" max="5" width="11.2857142857143" customWidth="1"/>
    <col min="6" max="6" width="2" bestFit="1" customWidth="1"/>
    <col min="7" max="7" width="13.1428571428571" bestFit="1" customWidth="1"/>
    <col min="8" max="8" width="13.5714285714286" customWidth="1"/>
    <col min="9" max="9" width="5" bestFit="1" customWidth="1"/>
  </cols>
  <sheetData>
    <row r="1" spans="2:7" ht="15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7" ht="15.75">
      <c r="B2" s="10" t="s">
        <v>83</v>
      </c>
      <c r="C2" s="10"/>
      <c r="D2" s="10"/>
      <c r="E2" s="10" t="str">
        <f>DemTechs_TRA!S5</f>
        <v>BPkm</v>
      </c>
      <c r="G2" s="10" t="str">
        <f>'EB2'!Y2</f>
        <v>M€2005</v>
      </c>
    </row>
    <row r="5" spans="3:10" ht="12.75">
      <c r="C5" s="3" t="s">
        <v>13</v>
      </c>
      <c r="D5" s="3"/>
      <c r="E5" s="1"/>
      <c r="I5" s="3" t="s">
        <v>13</v>
      </c>
      <c r="J5" s="1"/>
    </row>
    <row r="6" spans="2:10" ht="12.75">
      <c r="B6" s="2" t="s">
        <v>80</v>
      </c>
      <c r="C6" s="2" t="s">
        <v>0</v>
      </c>
      <c r="D6" s="2" t="s">
        <v>152</v>
      </c>
      <c r="E6" s="76">
        <v>2005</v>
      </c>
      <c r="G6" s="2" t="s">
        <v>80</v>
      </c>
      <c r="H6" s="2" t="s">
        <v>0</v>
      </c>
      <c r="I6" s="2" t="s">
        <v>119</v>
      </c>
      <c r="J6" s="2">
        <v>2005</v>
      </c>
    </row>
    <row r="7" spans="2:10" ht="22.5">
      <c r="B7" s="16" t="s">
        <v>81</v>
      </c>
      <c r="C7" s="16" t="s">
        <v>82</v>
      </c>
      <c r="D7" s="16" t="s">
        <v>153</v>
      </c>
      <c r="E7" s="72" t="s">
        <v>36</v>
      </c>
      <c r="G7" s="16" t="s">
        <v>81</v>
      </c>
      <c r="H7" s="16" t="s">
        <v>82</v>
      </c>
      <c r="I7" s="16"/>
      <c r="J7" s="16"/>
    </row>
    <row r="8" spans="2:10" ht="13.5" thickBot="1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</row>
    <row r="9" spans="2:10" ht="12.75">
      <c r="B9" t="s">
        <v>35</v>
      </c>
      <c r="C9" t="str">
        <f>DemTechs_TRA!$Q$5</f>
        <v>DTCAR</v>
      </c>
      <c r="D9" s="1" t="s">
        <v>184</v>
      </c>
      <c r="E9" s="62">
        <f>SUM(DemTechs_TRA!M13:M18)</f>
        <v>3067.06485564375</v>
      </c>
      <c r="G9" s="1" t="s">
        <v>120</v>
      </c>
      <c r="H9" t="str">
        <f>DemTechs_TRA!$Q$5</f>
        <v>DTCAR</v>
      </c>
      <c r="I9" s="23" t="s">
        <v>121</v>
      </c>
      <c r="J9" s="67">
        <v>0.25</v>
      </c>
    </row>
    <row r="10" spans="2:10" ht="12.75">
      <c r="B10" t="s">
        <v>35</v>
      </c>
      <c r="C10" t="str">
        <f>DemTechs_TRA!$Q$6</f>
        <v>DTPUB</v>
      </c>
      <c r="D10" s="1" t="s">
        <v>184</v>
      </c>
      <c r="E10" s="62">
        <f>SUM(DemTechs_TRA!M19:M24)</f>
        <v>1727.9701023749997</v>
      </c>
      <c r="G10" s="1" t="s">
        <v>120</v>
      </c>
      <c r="H10" t="str">
        <f>DemTechs_TRA!$Q$5</f>
        <v>DTCAR</v>
      </c>
      <c r="I10" s="23" t="s">
        <v>122</v>
      </c>
      <c r="J10" s="67">
        <v>0.25</v>
      </c>
    </row>
    <row r="11" spans="7:10" ht="12.75">
      <c r="G11" s="1" t="s">
        <v>120</v>
      </c>
      <c r="H11" t="str">
        <f>DemTechs_TRA!$Q$5</f>
        <v>DTCAR</v>
      </c>
      <c r="I11" s="23" t="s">
        <v>123</v>
      </c>
      <c r="J11" s="67">
        <v>0.25</v>
      </c>
    </row>
    <row r="12" spans="5:10" ht="12.75">
      <c r="E12" s="26"/>
      <c r="G12" s="27" t="s">
        <v>120</v>
      </c>
      <c r="H12" s="6" t="str">
        <f>DemTechs_TRA!$Q$5</f>
        <v>DTCAR</v>
      </c>
      <c r="I12" s="28" t="s">
        <v>124</v>
      </c>
      <c r="J12" s="97">
        <v>0.25</v>
      </c>
    </row>
    <row r="13" spans="5:10" ht="12.75">
      <c r="E13" s="7"/>
      <c r="G13" s="1" t="s">
        <v>120</v>
      </c>
      <c r="H13" t="str">
        <f>DemTechs_TRA!$Q$6</f>
        <v>DTPUB</v>
      </c>
      <c r="I13" s="23" t="s">
        <v>121</v>
      </c>
      <c r="J13" s="67">
        <v>0.25</v>
      </c>
    </row>
    <row r="14" spans="7:10" ht="12.75">
      <c r="G14" s="1" t="s">
        <v>120</v>
      </c>
      <c r="H14" t="str">
        <f>DemTechs_TRA!$Q$6</f>
        <v>DTPUB</v>
      </c>
      <c r="I14" s="23" t="s">
        <v>122</v>
      </c>
      <c r="J14" s="67">
        <v>0.25</v>
      </c>
    </row>
    <row r="15" spans="5:10" ht="12.75">
      <c r="E15" s="7"/>
      <c r="G15" s="1" t="s">
        <v>120</v>
      </c>
      <c r="H15" t="str">
        <f>DemTechs_TRA!$Q$6</f>
        <v>DTPUB</v>
      </c>
      <c r="I15" s="23" t="s">
        <v>123</v>
      </c>
      <c r="J15" s="67">
        <v>0.25</v>
      </c>
    </row>
    <row r="16" spans="7:10" ht="12.75">
      <c r="G16" s="1" t="s">
        <v>120</v>
      </c>
      <c r="H16" t="str">
        <f>DemTechs_TRA!$Q$6</f>
        <v>DTPUB</v>
      </c>
      <c r="I16" s="23" t="s">
        <v>124</v>
      </c>
      <c r="J16" s="67">
        <v>0.25</v>
      </c>
    </row>
    <row r="17" spans="24:24" ht="12.75">
      <c r="X17" t="s">
        <v>185</v>
      </c>
    </row>
    <row r="23" spans="2:3" ht="12.75">
      <c r="B23" s="44"/>
      <c r="C23" s="1" t="s">
        <v>159</v>
      </c>
    </row>
    <row r="24" spans="2:3" ht="12.75">
      <c r="B24" s="64"/>
      <c r="C24" s="1" t="s">
        <v>160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 topLeftCell="A1">
      <selection pane="topLeft" activeCell="J29" sqref="J29"/>
    </sheetView>
  </sheetViews>
  <sheetFormatPr defaultRowHeight="12.75"/>
  <cols>
    <col min="2" max="2" width="14.4285714285714" customWidth="1"/>
  </cols>
  <sheetData>
    <row r="3" spans="2:8" ht="17.45" customHeight="1">
      <c r="B3" s="35" t="s">
        <v>149</v>
      </c>
      <c r="C3" s="35"/>
      <c r="D3" s="35"/>
      <c r="E3" s="35"/>
      <c r="F3" s="35"/>
      <c r="G3" s="35"/>
      <c r="H3" s="35"/>
    </row>
    <row r="4" spans="2:7" ht="17.45" customHeight="1">
      <c r="B4" s="36"/>
      <c r="C4" s="36"/>
      <c r="D4" s="36"/>
      <c r="E4" s="36"/>
      <c r="F4" s="36"/>
      <c r="G4" s="36"/>
    </row>
    <row r="5" spans="2:3" ht="18">
      <c r="B5" s="33" t="s">
        <v>150</v>
      </c>
      <c r="C5" s="34"/>
    </row>
    <row r="6" spans="2:9" ht="13.5" thickBot="1">
      <c r="B6" s="38" t="s">
        <v>0</v>
      </c>
      <c r="C6" s="38" t="str">
        <f>Sector_Fuels_TRA!L5</f>
        <v>TRAGAS</v>
      </c>
      <c r="D6" s="38" t="str">
        <f>Sector_Fuels_TRA!L6</f>
        <v>TRADSL</v>
      </c>
      <c r="E6" s="38" t="str">
        <f>Sector_Fuels_TRA!L7</f>
        <v>TRALPG</v>
      </c>
      <c r="F6" s="38" t="str">
        <f>Sector_Fuels_TRA!L8</f>
        <v>TRAGSL</v>
      </c>
      <c r="G6" s="37"/>
      <c r="H6" s="37"/>
      <c r="I6" s="1"/>
    </row>
    <row r="7" spans="2:9" ht="13.5" thickBot="1">
      <c r="B7" s="15" t="s">
        <v>91</v>
      </c>
      <c r="C7" s="15" t="s">
        <v>158</v>
      </c>
      <c r="D7" s="15" t="s">
        <v>158</v>
      </c>
      <c r="E7" s="15" t="s">
        <v>158</v>
      </c>
      <c r="F7" s="15" t="s">
        <v>158</v>
      </c>
      <c r="G7" s="101"/>
      <c r="H7" s="101"/>
      <c r="I7" s="1"/>
    </row>
    <row r="8" spans="2:9" ht="12.75">
      <c r="B8" s="37" t="str">
        <f>DemTechs_TRA!Q7</f>
        <v>TRACO2</v>
      </c>
      <c r="C8" s="67">
        <v>56.10</v>
      </c>
      <c r="D8" s="67">
        <v>75</v>
      </c>
      <c r="E8" s="67">
        <v>64</v>
      </c>
      <c r="F8" s="67">
        <v>73</v>
      </c>
      <c r="G8" s="102"/>
      <c r="H8" s="102"/>
      <c r="I8" s="1"/>
    </row>
    <row r="23" spans="2:3" ht="12.75">
      <c r="B23" s="44"/>
      <c r="C23" s="1" t="s">
        <v>159</v>
      </c>
    </row>
    <row r="24" spans="2:3" ht="12.75">
      <c r="B24" s="64"/>
      <c r="C24" s="1" t="s">
        <v>160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EB2</vt:lpstr>
      <vt:lpstr>RES_TRA</vt:lpstr>
      <vt:lpstr>Sector_Fuels_TRA</vt:lpstr>
      <vt:lpstr>DemTechs_TRA</vt:lpstr>
      <vt:lpstr>Demands</vt:lpstr>
      <vt:lpstr>Emi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DEEPAK</cp:lastModifiedBy>
  <cp:lastPrinted>2004-11-16T14:57:57Z</cp:lastPrinted>
  <dcterms:created xsi:type="dcterms:W3CDTF">2000-12-13T15:53:11Z</dcterms:created>
  <dcterms:modified xsi:type="dcterms:W3CDTF">2026-08-13T06:23:00Z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207409083843231</vt:r8>
  </property>
  <property fmtid="{D5CDD505-2E9C-101B-9397-08002B2CF9AE}" pid="3" name="VedaExternalLinksUpdated">
    <vt:lpwstr>true</vt:lpwstr>
  </property>
</Properties>
</file>