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_Release\Demo_S012_Vonline\"/>
    </mc:Choice>
  </mc:AlternateContent>
  <xr:revisionPtr revIDLastSave="0" documentId="13_ncr:1_{0AD00A3B-AFF1-4894-B98C-FCE47712C26F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ScenMap" sheetId="56" r:id="rId1"/>
    <sheet name="TS_Defs" sheetId="27" r:id="rId2"/>
    <sheet name="PSet_MAP" sheetId="57" r:id="rId3"/>
    <sheet name="varbl map" sheetId="64" r:id="rId4"/>
    <sheet name="CName_MAP" sheetId="58" r:id="rId5"/>
    <sheet name="ATS" sheetId="63" r:id="rId6"/>
    <sheet name="UnitConv" sheetId="59" r:id="rId7"/>
    <sheet name="Sheet1" sheetId="65" r:id="rId8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64" l="1"/>
  <c r="B34" i="64"/>
  <c r="B33" i="64"/>
  <c r="B32" i="64"/>
  <c r="B31" i="64"/>
  <c r="B30" i="64"/>
  <c r="B29" i="64"/>
  <c r="B28" i="64"/>
  <c r="B27" i="64"/>
  <c r="B26" i="64"/>
  <c r="B25" i="64"/>
  <c r="B24" i="64"/>
  <c r="B18" i="64"/>
  <c r="B17" i="64"/>
  <c r="B16" i="64"/>
  <c r="B15" i="64"/>
  <c r="B14" i="64"/>
  <c r="B13" i="64"/>
  <c r="B12" i="64"/>
  <c r="B11" i="64"/>
  <c r="B10" i="64"/>
  <c r="F23" i="64"/>
  <c r="C23" i="64" s="1"/>
  <c r="F22" i="64"/>
  <c r="B22" i="64" s="1"/>
  <c r="F21" i="64"/>
  <c r="C21" i="64" s="1"/>
  <c r="F20" i="64"/>
  <c r="C20" i="64" s="1"/>
  <c r="F19" i="64"/>
  <c r="B19" i="64" s="1"/>
  <c r="C18" i="64"/>
  <c r="C17" i="64"/>
  <c r="C16" i="64"/>
  <c r="C15" i="64"/>
  <c r="C14" i="64"/>
  <c r="C13" i="64"/>
  <c r="C12" i="64"/>
  <c r="C11" i="64"/>
  <c r="C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F5" i="57"/>
  <c r="I5" i="56"/>
  <c r="R18" i="27"/>
  <c r="R17" i="27"/>
  <c r="R16" i="27"/>
  <c r="R15" i="27"/>
  <c r="R14" i="27"/>
  <c r="Q15" i="27"/>
  <c r="Q16" i="27"/>
  <c r="Q17" i="27"/>
  <c r="Q18" i="27"/>
  <c r="Q14" i="27"/>
  <c r="F10" i="57"/>
  <c r="F11" i="57" s="1"/>
  <c r="F12" i="57" s="1"/>
  <c r="F13" i="57" s="1"/>
  <c r="F14" i="57" s="1"/>
  <c r="F15" i="57" s="1"/>
  <c r="F16" i="57" s="1"/>
  <c r="F17" i="57" s="1"/>
  <c r="F18" i="57" s="1"/>
  <c r="E3" i="27" s="1"/>
  <c r="F9" i="57"/>
  <c r="F8" i="57"/>
  <c r="B4" i="27"/>
  <c r="B5" i="27"/>
  <c r="B6" i="27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C16" i="57"/>
  <c r="C9" i="57"/>
  <c r="C15" i="57"/>
  <c r="C14" i="57"/>
  <c r="C13" i="57"/>
  <c r="C4" i="57"/>
  <c r="C5" i="57"/>
  <c r="C6" i="57"/>
  <c r="C7" i="57"/>
  <c r="C8" i="57"/>
  <c r="C10" i="57"/>
  <c r="C11" i="57"/>
  <c r="C12" i="57"/>
  <c r="C17" i="57"/>
  <c r="C18" i="57"/>
  <c r="C3" i="57"/>
  <c r="F3" i="57"/>
  <c r="F4" i="57" s="1"/>
  <c r="B21" i="64" l="1"/>
  <c r="C22" i="64"/>
  <c r="B23" i="64"/>
  <c r="B20" i="64"/>
  <c r="C19" i="64"/>
  <c r="F6" i="57"/>
  <c r="F7" i="57" s="1"/>
  <c r="E14" i="27" s="1"/>
  <c r="E15" i="27" s="1"/>
  <c r="E5" i="27"/>
  <c r="E9" i="27"/>
  <c r="E11" i="27"/>
  <c r="E6" i="27"/>
  <c r="E7" i="27"/>
  <c r="E4" i="27"/>
  <c r="E8" i="27"/>
  <c r="E16" i="27" l="1"/>
  <c r="E17" i="27"/>
  <c r="E18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U2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2/11/2012
Name of the aggregated Region
</t>
        </r>
      </text>
    </comment>
  </commentList>
</comments>
</file>

<file path=xl/sharedStrings.xml><?xml version="1.0" encoding="utf-8"?>
<sst xmlns="http://schemas.openxmlformats.org/spreadsheetml/2006/main" count="997" uniqueCount="805">
  <si>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</si>
  <si>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</si>
  <si>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</si>
  <si>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</si>
  <si>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</si>
  <si>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</si>
  <si>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</si>
  <si>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</si>
  <si>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</si>
  <si>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</si>
  <si>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</si>
  <si>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</si>
  <si>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</si>
  <si>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Varbl</t>
  </si>
  <si>
    <t>Commercial</t>
  </si>
  <si>
    <t>Residential</t>
  </si>
  <si>
    <t>VAR_FOUT</t>
  </si>
  <si>
    <t>kt</t>
  </si>
  <si>
    <t>TS</t>
  </si>
  <si>
    <t>ELC</t>
  </si>
  <si>
    <t>VAR_CAP</t>
  </si>
  <si>
    <t>GW</t>
  </si>
  <si>
    <t>Scen</t>
  </si>
  <si>
    <t>Agriculture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</si>
  <si>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</si>
  <si>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</si>
  <si>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</si>
  <si>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</si>
  <si>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</si>
  <si>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</si>
  <si>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</si>
  <si>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</si>
  <si>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</si>
  <si>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</si>
  <si>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</si>
  <si>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</si>
  <si>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</si>
  <si>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</si>
  <si>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</si>
  <si>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</si>
  <si>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</si>
  <si>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</si>
  <si>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</si>
  <si>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</si>
  <si>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</si>
  <si>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</si>
  <si>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</si>
  <si>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</si>
  <si>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</si>
  <si>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</si>
  <si>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</si>
  <si>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</si>
  <si>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</si>
  <si>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</si>
  <si>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</si>
  <si>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KSA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</si>
  <si>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</si>
  <si>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</si>
  <si>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</si>
  <si>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</si>
  <si>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</si>
  <si>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</si>
  <si>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</si>
  <si>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</si>
  <si>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</si>
  <si>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</si>
  <si>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</si>
  <si>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</si>
  <si>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</si>
  <si>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</si>
  <si>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</si>
  <si>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</si>
  <si>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</si>
  <si>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</si>
  <si>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</si>
  <si>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</si>
  <si>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</si>
  <si>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</si>
  <si>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</si>
  <si>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</si>
  <si>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</si>
  <si>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CO2</t>
  </si>
  <si>
    <t>C</t>
  </si>
  <si>
    <t>ELEBIO</t>
  </si>
  <si>
    <t>ELECOA</t>
  </si>
  <si>
    <t>ELEGAS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</si>
  <si>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</si>
  <si>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</si>
  <si>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</si>
  <si>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</si>
  <si>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</si>
  <si>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</si>
  <si>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</si>
  <si>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</si>
  <si>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</si>
  <si>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</si>
  <si>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</si>
  <si>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</si>
  <si>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</si>
  <si>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</si>
  <si>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</si>
  <si>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</si>
  <si>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</si>
  <si>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</si>
  <si>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</si>
  <si>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</si>
  <si>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</si>
  <si>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</si>
  <si>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</si>
  <si>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</si>
  <si>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</si>
  <si>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</si>
  <si>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</si>
  <si>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</si>
  <si>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</si>
  <si>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</si>
  <si>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</si>
  <si>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</si>
  <si>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</si>
  <si>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</si>
  <si>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</si>
  <si>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</si>
  <si>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</si>
  <si>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</si>
  <si>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</si>
  <si>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</si>
  <si>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</si>
  <si>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FUEL_AGR</t>
  </si>
  <si>
    <t>FUEL_COM</t>
  </si>
  <si>
    <t>FUEL_IND</t>
  </si>
  <si>
    <t>FUEL_RES</t>
  </si>
  <si>
    <t>FUEL_TRA</t>
  </si>
  <si>
    <t>~varbl_map</t>
  </si>
  <si>
    <t>dimension</t>
  </si>
  <si>
    <t>name</t>
  </si>
  <si>
    <t>description</t>
  </si>
  <si>
    <t>sector</t>
  </si>
  <si>
    <t>tech</t>
  </si>
  <si>
    <t>fuel</t>
  </si>
  <si>
    <t>attribute</t>
  </si>
  <si>
    <t>Capacity</t>
  </si>
  <si>
    <t>New Cap</t>
  </si>
  <si>
    <t>Generation</t>
  </si>
  <si>
    <t>Emissions</t>
  </si>
  <si>
    <t>Fuel Consumption</t>
  </si>
  <si>
    <t>Prices</t>
  </si>
  <si>
    <t>Inv Cost</t>
  </si>
  <si>
    <t>Final Energy</t>
  </si>
  <si>
    <t>co2int_</t>
  </si>
  <si>
    <t>eff_</t>
  </si>
  <si>
    <t>cf_</t>
  </si>
  <si>
    <t>CO2 intensity</t>
  </si>
  <si>
    <t>Efficiency</t>
  </si>
  <si>
    <t>Capacity factor</t>
  </si>
  <si>
    <t>~Language</t>
  </si>
  <si>
    <t>JPN</t>
  </si>
  <si>
    <t>UKR</t>
  </si>
  <si>
    <t>TUR</t>
  </si>
  <si>
    <t>SPA</t>
  </si>
  <si>
    <t>HUN</t>
  </si>
  <si>
    <t>NOR</t>
  </si>
  <si>
    <t>KOR</t>
  </si>
  <si>
    <t>POR</t>
  </si>
  <si>
    <t>農業</t>
  </si>
  <si>
    <t>Сільське господарство</t>
  </si>
  <si>
    <t>Tarım</t>
  </si>
  <si>
    <t>Agricultura</t>
  </si>
  <si>
    <t>Mezőgazdaság</t>
  </si>
  <si>
    <t>Jordbruk</t>
  </si>
  <si>
    <t>농업</t>
  </si>
  <si>
    <t>商業</t>
  </si>
  <si>
    <t>Комерційний</t>
  </si>
  <si>
    <t>Reklam</t>
  </si>
  <si>
    <t>Comercial</t>
  </si>
  <si>
    <t>Kereskedelmi</t>
  </si>
  <si>
    <t>Kommersiell</t>
  </si>
  <si>
    <t>광고</t>
  </si>
  <si>
    <t>業界</t>
  </si>
  <si>
    <t>Промисловість</t>
  </si>
  <si>
    <t>Sanayi</t>
  </si>
  <si>
    <t>Industria</t>
  </si>
  <si>
    <t>Ipar</t>
  </si>
  <si>
    <t>Industri</t>
  </si>
  <si>
    <t>산업</t>
  </si>
  <si>
    <t>Indústria</t>
  </si>
  <si>
    <t>居住の</t>
  </si>
  <si>
    <t>Житлова</t>
  </si>
  <si>
    <t>yerleşim</t>
  </si>
  <si>
    <t>Residencial</t>
  </si>
  <si>
    <t>Lakó</t>
  </si>
  <si>
    <t>Bolig</t>
  </si>
  <si>
    <t>주거</t>
  </si>
  <si>
    <t>residencial</t>
  </si>
  <si>
    <t>輸送</t>
  </si>
  <si>
    <t>Транспорт</t>
  </si>
  <si>
    <t>Ulaşım</t>
  </si>
  <si>
    <t>Transporte</t>
  </si>
  <si>
    <t>Szállítás</t>
  </si>
  <si>
    <t>Transportere</t>
  </si>
  <si>
    <t>수송</t>
  </si>
  <si>
    <t>Exogenous Trade</t>
  </si>
  <si>
    <t>対外貿易</t>
  </si>
  <si>
    <t>Екзогенна торгівля</t>
  </si>
  <si>
    <t>Dış Ticaret</t>
  </si>
  <si>
    <t>Comercio exógeno</t>
  </si>
  <si>
    <t>Exogén kereskedelem</t>
  </si>
  <si>
    <t>Eksogen handel</t>
  </si>
  <si>
    <t>외생 무역</t>
  </si>
  <si>
    <t>Comércio exógeno</t>
  </si>
  <si>
    <t>Energy</t>
  </si>
  <si>
    <t>エネルギー</t>
  </si>
  <si>
    <t>Енергія</t>
  </si>
  <si>
    <t>Enerji</t>
  </si>
  <si>
    <t>Energía</t>
  </si>
  <si>
    <t>Energia</t>
  </si>
  <si>
    <t>Energi</t>
  </si>
  <si>
    <t>에너지</t>
  </si>
  <si>
    <t>Power and Heat</t>
  </si>
  <si>
    <t>電力と熱</t>
  </si>
  <si>
    <t>Потужність і тепло</t>
  </si>
  <si>
    <t>Güç ve Isı</t>
  </si>
  <si>
    <t>Energía y calor</t>
  </si>
  <si>
    <t>Erő és hő</t>
  </si>
  <si>
    <t>Kraft og varme</t>
  </si>
  <si>
    <t>힘과 열</t>
  </si>
  <si>
    <t>Energia e Calor</t>
  </si>
  <si>
    <t>AutoCHP Bio</t>
  </si>
  <si>
    <t>AutoCHP バイオ</t>
  </si>
  <si>
    <t>AutoCHP Biyografisi</t>
  </si>
  <si>
    <t>Biografía de AutoCHP</t>
  </si>
  <si>
    <t>AutoCHP 바이오</t>
  </si>
  <si>
    <t>AutoCHP Coal</t>
  </si>
  <si>
    <t>AutoCHP 石炭</t>
  </si>
  <si>
    <t>АвтоТЕЦ Вугілля</t>
  </si>
  <si>
    <t>AutoCHP Kömür</t>
  </si>
  <si>
    <t>AutoCHP Carbón</t>
  </si>
  <si>
    <t>AutoCHP szén</t>
  </si>
  <si>
    <t>AutoCHP Kull</t>
  </si>
  <si>
    <t>AutoCHP 석탄</t>
  </si>
  <si>
    <t>AutoCHP Carvão</t>
  </si>
  <si>
    <t>AutoCHP Gas</t>
  </si>
  <si>
    <t>AutoCHP ガス</t>
  </si>
  <si>
    <t>АвтоТЕЦ Газ</t>
  </si>
  <si>
    <t>OtoCHP Gazı</t>
  </si>
  <si>
    <t>AutoCHP gass</t>
  </si>
  <si>
    <t>AutoCHP 가스</t>
  </si>
  <si>
    <t>Gás AutoCHP</t>
  </si>
  <si>
    <t>AutoCHP Oil</t>
  </si>
  <si>
    <t>AutoCHP オイル</t>
  </si>
  <si>
    <t>Масло AutoCHP</t>
  </si>
  <si>
    <t>OtoCHP Yağı</t>
  </si>
  <si>
    <t>Aceite de autocogeneración</t>
  </si>
  <si>
    <t>AutoCHP olaj</t>
  </si>
  <si>
    <t>AutoCHP olje</t>
  </si>
  <si>
    <t>AutoCHP 오일</t>
  </si>
  <si>
    <t>Óleo AutoCHP</t>
  </si>
  <si>
    <t>Geoth</t>
  </si>
  <si>
    <t>ジオス</t>
  </si>
  <si>
    <t>Геот</t>
  </si>
  <si>
    <t>지오스</t>
  </si>
  <si>
    <t>geoth</t>
  </si>
  <si>
    <t>Solar utility</t>
  </si>
  <si>
    <t>太陽光発電事業</t>
  </si>
  <si>
    <t>Сонячна енергія</t>
  </si>
  <si>
    <t>Güneş programı</t>
  </si>
  <si>
    <t>Utilidad solar</t>
  </si>
  <si>
    <t>Napelemes közmű</t>
  </si>
  <si>
    <t>Solenergi verktøy</t>
  </si>
  <si>
    <t>태양열 유틸리티</t>
  </si>
  <si>
    <t>utilitário solar</t>
  </si>
  <si>
    <t>Solar Rooftop</t>
  </si>
  <si>
    <t>ソーラールーフトップ</t>
  </si>
  <si>
    <t>Сонячна дах</t>
  </si>
  <si>
    <t>Güneş Çatı</t>
  </si>
  <si>
    <t>azotea solar</t>
  </si>
  <si>
    <t>Solcelletak</t>
  </si>
  <si>
    <t>태양광 옥상</t>
  </si>
  <si>
    <t>風</t>
  </si>
  <si>
    <t>Вітер</t>
  </si>
  <si>
    <t>Rüzgâr</t>
  </si>
  <si>
    <t>Viento</t>
  </si>
  <si>
    <t>Szél</t>
  </si>
  <si>
    <t>Vind</t>
  </si>
  <si>
    <t>바람</t>
  </si>
  <si>
    <t>Vento</t>
  </si>
  <si>
    <t>Bio CHP</t>
  </si>
  <si>
    <t>バイオCHP</t>
  </si>
  <si>
    <t>БіоТЕЦ</t>
  </si>
  <si>
    <t>Biyo CHP</t>
  </si>
  <si>
    <t>cogeneración biológica</t>
  </si>
  <si>
    <t>바이오 CHP</t>
  </si>
  <si>
    <t>Coal CHP</t>
  </si>
  <si>
    <t>石炭CHP</t>
  </si>
  <si>
    <t>Вугільна ТЕЦ</t>
  </si>
  <si>
    <t>Kömür CHP'si</t>
  </si>
  <si>
    <t>cogeneración de carbón</t>
  </si>
  <si>
    <t>Szén CHP</t>
  </si>
  <si>
    <t>Kull CHP</t>
  </si>
  <si>
    <t>석탄 CHP</t>
  </si>
  <si>
    <t>cogeração de carvão</t>
  </si>
  <si>
    <t>Gas CHP</t>
  </si>
  <si>
    <t>ガスCHP</t>
  </si>
  <si>
    <t>Газова ТЕЦ</t>
  </si>
  <si>
    <t>Gaz CHP'si</t>
  </si>
  <si>
    <t>cogeneración de gas</t>
  </si>
  <si>
    <t>Gáz CHP</t>
  </si>
  <si>
    <t>Gass CHP</t>
  </si>
  <si>
    <t>가스 CHP</t>
  </si>
  <si>
    <t>Gás CHP</t>
  </si>
  <si>
    <t>Gas CHP wCCS</t>
  </si>
  <si>
    <t>ガスCHP wCCS</t>
  </si>
  <si>
    <t>Газова ТЕЦ wCCS</t>
  </si>
  <si>
    <t>Gaz CHP wCCS</t>
  </si>
  <si>
    <t>Cogeneración de gas wCCS</t>
  </si>
  <si>
    <t>Gáz CHP wCCS</t>
  </si>
  <si>
    <t>Gass CHP wCCS</t>
  </si>
  <si>
    <t>가스 CHP wCCS</t>
  </si>
  <si>
    <t>Gás CHP wCCS</t>
  </si>
  <si>
    <t>FCH2</t>
  </si>
  <si>
    <t>Large Hydro</t>
  </si>
  <si>
    <t>大型水力発電</t>
  </si>
  <si>
    <t>Велика Гідро</t>
  </si>
  <si>
    <t>Büyük Hidro</t>
  </si>
  <si>
    <t>hidroeléctrica grande</t>
  </si>
  <si>
    <t>Nagy Hydro</t>
  </si>
  <si>
    <t>Stort Hydro</t>
  </si>
  <si>
    <t>대형 하이드로</t>
  </si>
  <si>
    <t>Grande Hidro</t>
  </si>
  <si>
    <t>Small Hydro</t>
  </si>
  <si>
    <t>小型水力発電</t>
  </si>
  <si>
    <t>Мала ГЕС</t>
  </si>
  <si>
    <t>Küçük Hidro</t>
  </si>
  <si>
    <t>Pequeña hidroeléctrica</t>
  </si>
  <si>
    <t>Liten Hydro</t>
  </si>
  <si>
    <t>작은 수력</t>
  </si>
  <si>
    <t>Pequena Hidrelétrica</t>
  </si>
  <si>
    <t>Nuclear - Existing</t>
  </si>
  <si>
    <t>核 - 既存</t>
  </si>
  <si>
    <t>Ядерний - Існуючий</t>
  </si>
  <si>
    <t>Nükleer - Mevcut</t>
  </si>
  <si>
    <t>Nuclear - Existente</t>
  </si>
  <si>
    <t>Nukleáris – Meglévő</t>
  </si>
  <si>
    <t>Nukleær - Eksisterende</t>
  </si>
  <si>
    <t>원자력 - 기존</t>
  </si>
  <si>
    <t>Nuclear - New</t>
  </si>
  <si>
    <t>核 - 新しい</t>
  </si>
  <si>
    <t>Ядерний - Новий</t>
  </si>
  <si>
    <t>Nükleer - Yeni</t>
  </si>
  <si>
    <t>Nuclear - Nuevo</t>
  </si>
  <si>
    <t>Nukleáris - Új</t>
  </si>
  <si>
    <t>Nuclear - Nytt</t>
  </si>
  <si>
    <t>원자력 - 신규</t>
  </si>
  <si>
    <t>Nuclear - Novo</t>
  </si>
  <si>
    <t>Nuclear - New small</t>
  </si>
  <si>
    <t>原子力 - 新しい小型</t>
  </si>
  <si>
    <t>Ядерний - Новий малий</t>
  </si>
  <si>
    <t>Nükleer - Yeni küçük</t>
  </si>
  <si>
    <t>Nuclear - Nuevo pequeño</t>
  </si>
  <si>
    <t>Nukleáris - Új kicsi</t>
  </si>
  <si>
    <t>Nuclear - Ny liten</t>
  </si>
  <si>
    <t>핵 - 새로운 소형</t>
  </si>
  <si>
    <t>Nuclear - Novo pequeno</t>
  </si>
  <si>
    <t>油</t>
  </si>
  <si>
    <t>олія</t>
  </si>
  <si>
    <t>Yağ</t>
  </si>
  <si>
    <t>Aceite</t>
  </si>
  <si>
    <t>Olaj</t>
  </si>
  <si>
    <t>Olje</t>
  </si>
  <si>
    <t>기름</t>
  </si>
  <si>
    <t>Óleo</t>
  </si>
  <si>
    <t>保管所</t>
  </si>
  <si>
    <t>Зберігання</t>
  </si>
  <si>
    <t>Depolamak</t>
  </si>
  <si>
    <t>Almacenamiento</t>
  </si>
  <si>
    <t>Tárolás</t>
  </si>
  <si>
    <t>Oppbevaring</t>
  </si>
  <si>
    <t>저장</t>
  </si>
  <si>
    <t>Armazenar</t>
  </si>
  <si>
    <t>Coal Adv</t>
  </si>
  <si>
    <t>石炭アドバンス</t>
  </si>
  <si>
    <t>Kömür İlanı</t>
  </si>
  <si>
    <t>Carbón Avanzado</t>
  </si>
  <si>
    <t>Kull Adv</t>
  </si>
  <si>
    <t>석탄 고급</t>
  </si>
  <si>
    <t>バイオ</t>
  </si>
  <si>
    <t>біографія</t>
  </si>
  <si>
    <t>biyo</t>
  </si>
  <si>
    <t>biografía</t>
  </si>
  <si>
    <t>바이오</t>
  </si>
  <si>
    <t>biografia</t>
  </si>
  <si>
    <t>ガス</t>
  </si>
  <si>
    <t>газ</t>
  </si>
  <si>
    <t>Gaz</t>
  </si>
  <si>
    <t>Gáz</t>
  </si>
  <si>
    <t>Gass</t>
  </si>
  <si>
    <t>가스</t>
  </si>
  <si>
    <t>Gás</t>
  </si>
  <si>
    <t>Gas wCCS</t>
  </si>
  <si>
    <t>ガスwCCS</t>
  </si>
  <si>
    <t>Газ wCCS</t>
  </si>
  <si>
    <t>Gaz wCCS</t>
  </si>
  <si>
    <t>Gáz wCCS</t>
  </si>
  <si>
    <t>Gass wCCS</t>
  </si>
  <si>
    <t>가스 wCCS</t>
  </si>
  <si>
    <t>Gás wCCS</t>
  </si>
  <si>
    <t>Coal New noCCS</t>
  </si>
  <si>
    <t>石炭 新しい noCCS</t>
  </si>
  <si>
    <t>Вугілля Новий noCCS</t>
  </si>
  <si>
    <t>Kömür Yeni noCCS</t>
  </si>
  <si>
    <t>Carbón Nuevo noCCS</t>
  </si>
  <si>
    <t>Szén Új noCCS</t>
  </si>
  <si>
    <t>Kull Ny noCCS</t>
  </si>
  <si>
    <t>석탄 새로운 noCCS</t>
  </si>
  <si>
    <t>Carvão Novo noCCS</t>
  </si>
  <si>
    <t>Coal New wCCS</t>
  </si>
  <si>
    <t>石炭 新wCCS</t>
  </si>
  <si>
    <t>Вугілля Новий wCCS</t>
  </si>
  <si>
    <t>Kömür Yeni wCCS</t>
  </si>
  <si>
    <t>Carbón Nuevo wCCS</t>
  </si>
  <si>
    <t>Szén Új wCCS</t>
  </si>
  <si>
    <t>Kull Ny wCCS</t>
  </si>
  <si>
    <t>석탄 New wCCS</t>
  </si>
  <si>
    <t>Carvão Novo wCCS</t>
  </si>
  <si>
    <t>Thermal - Existing</t>
  </si>
  <si>
    <t>熱 - 既存</t>
  </si>
  <si>
    <t>Теплові - Існуючі</t>
  </si>
  <si>
    <t>Termal - Mevcut</t>
  </si>
  <si>
    <t>Térmica - Existente</t>
  </si>
  <si>
    <t>Termikus – Meglévő</t>
  </si>
  <si>
    <t>Termisk - Eksisterende</t>
  </si>
  <si>
    <t>열 - 기존</t>
  </si>
  <si>
    <t>Coal-fired heat plants</t>
  </si>
  <si>
    <t>石炭火力発電所</t>
  </si>
  <si>
    <t>Вугільні ТЕЦ</t>
  </si>
  <si>
    <t>Kömürle çalışan ısı santralleri</t>
  </si>
  <si>
    <t>Centrales térmicas de carbón</t>
  </si>
  <si>
    <t>Széntüzelésű hőerőművek</t>
  </si>
  <si>
    <t>Kullfyrte varmeanlegg</t>
  </si>
  <si>
    <t>석탄 화력 발전소</t>
  </si>
  <si>
    <t>Usinas de calor a carvão</t>
  </si>
  <si>
    <t>Gas-fired heat plants</t>
  </si>
  <si>
    <t>ガス火力発電所</t>
  </si>
  <si>
    <t>Теплові установки, що працюють на газі</t>
  </si>
  <si>
    <t>Gaz yakıtlı ısı santralleri</t>
  </si>
  <si>
    <t>Plantas de calor a gas</t>
  </si>
  <si>
    <t>Gáztüzelésű hőerőművek</t>
  </si>
  <si>
    <t>Gassfyrte varmeanlegg</t>
  </si>
  <si>
    <t>가스 화력 발전소</t>
  </si>
  <si>
    <t>Usinas térmicas a gás</t>
  </si>
  <si>
    <t>Oil-fired heat plants</t>
  </si>
  <si>
    <t>石油火力発電所</t>
  </si>
  <si>
    <t>Теплові установки, що працюють на мазуті</t>
  </si>
  <si>
    <t>Akaryakıtla çalışan ısı santralleri</t>
  </si>
  <si>
    <t>Plantas de calor de gasóleo</t>
  </si>
  <si>
    <t>Olajtüzelésű hőerőművek</t>
  </si>
  <si>
    <t>Oljefyrte varmeanlegg</t>
  </si>
  <si>
    <t>석유 화력 발전소</t>
  </si>
  <si>
    <t>Usinas de calor a óleo</t>
  </si>
  <si>
    <t>Renewable and Other Heat Plants</t>
  </si>
  <si>
    <t>再生可能およびその他の熱発電所</t>
  </si>
  <si>
    <t>Відновлювані джерела енергії та інші теплові установки</t>
  </si>
  <si>
    <t>Yenilenebilir ve Diğer Isı Santralleri</t>
  </si>
  <si>
    <t>Plantas de calor renovables y otras</t>
  </si>
  <si>
    <t>Megújuló és egyéb hőerőművek</t>
  </si>
  <si>
    <t>Fornybare og andre varmeanlegg</t>
  </si>
  <si>
    <t>재생 가능 및 기타 열 발전소</t>
  </si>
  <si>
    <t>Usinas de Calor Renováveis ​​e Outras</t>
  </si>
  <si>
    <t>Appliances</t>
  </si>
  <si>
    <t>家電製品</t>
  </si>
  <si>
    <t>Побутова техніка</t>
  </si>
  <si>
    <t>ev aletleri</t>
  </si>
  <si>
    <t>Accesorios</t>
  </si>
  <si>
    <t>Készülékek</t>
  </si>
  <si>
    <t>Hvitevarer</t>
  </si>
  <si>
    <t>가전제품</t>
  </si>
  <si>
    <t>Eletrodomésticos</t>
  </si>
  <si>
    <t>Cooling</t>
  </si>
  <si>
    <t>冷却</t>
  </si>
  <si>
    <t>Охолодження</t>
  </si>
  <si>
    <t>Soğutma</t>
  </si>
  <si>
    <t>Enfriamiento</t>
  </si>
  <si>
    <t>Hűtés</t>
  </si>
  <si>
    <t>Avkjøling</t>
  </si>
  <si>
    <t>냉각</t>
  </si>
  <si>
    <t>Resfriamento</t>
  </si>
  <si>
    <t>Cooking</t>
  </si>
  <si>
    <t>料理</t>
  </si>
  <si>
    <t>Кулінарія</t>
  </si>
  <si>
    <t>Yemek pişirmek</t>
  </si>
  <si>
    <t>Cocinando</t>
  </si>
  <si>
    <t>Főzés</t>
  </si>
  <si>
    <t>Matlaging</t>
  </si>
  <si>
    <t>요리</t>
  </si>
  <si>
    <t>Culinária</t>
  </si>
  <si>
    <t>Heating</t>
  </si>
  <si>
    <t>暖房</t>
  </si>
  <si>
    <t>Опалення</t>
  </si>
  <si>
    <t>Isıtma</t>
  </si>
  <si>
    <t>Calefacción</t>
  </si>
  <si>
    <t>Fűtés</t>
  </si>
  <si>
    <t>Oppvarming</t>
  </si>
  <si>
    <t>난방</t>
  </si>
  <si>
    <t>Aquecimento</t>
  </si>
  <si>
    <t>Lighting</t>
  </si>
  <si>
    <t>点灯</t>
  </si>
  <si>
    <t>Освітлення</t>
  </si>
  <si>
    <t>Aydınlatma</t>
  </si>
  <si>
    <t>Encendiendo</t>
  </si>
  <si>
    <t>Világítás</t>
  </si>
  <si>
    <t>Belysning</t>
  </si>
  <si>
    <t>조명</t>
  </si>
  <si>
    <t>Iluminação</t>
  </si>
  <si>
    <t>Refrigeration</t>
  </si>
  <si>
    <t>冷凍</t>
  </si>
  <si>
    <t>Refrigeración</t>
  </si>
  <si>
    <t>Kjøling</t>
  </si>
  <si>
    <t>Refrigeração</t>
  </si>
  <si>
    <t>Water heat</t>
  </si>
  <si>
    <t>水熱</t>
  </si>
  <si>
    <t>Тепло води</t>
  </si>
  <si>
    <t>Su ısısı</t>
  </si>
  <si>
    <t>Calor de agua</t>
  </si>
  <si>
    <t>Víz hő</t>
  </si>
  <si>
    <t>Vannvarme</t>
  </si>
  <si>
    <t>수열</t>
  </si>
  <si>
    <t>Calor da água</t>
  </si>
  <si>
    <t>Aviation</t>
  </si>
  <si>
    <t>航空</t>
  </si>
  <si>
    <t>Авіація</t>
  </si>
  <si>
    <t>Havacılık</t>
  </si>
  <si>
    <t>Aviación</t>
  </si>
  <si>
    <t>Repülés</t>
  </si>
  <si>
    <t>Luftfart</t>
  </si>
  <si>
    <t>비행</t>
  </si>
  <si>
    <t>Aviação</t>
  </si>
  <si>
    <t>Cars</t>
  </si>
  <si>
    <t>車</t>
  </si>
  <si>
    <t>Автомобілі</t>
  </si>
  <si>
    <t>Arabalar</t>
  </si>
  <si>
    <t>Carros</t>
  </si>
  <si>
    <t>Autók</t>
  </si>
  <si>
    <t>Biler</t>
  </si>
  <si>
    <t>자동차</t>
  </si>
  <si>
    <t>carros</t>
  </si>
  <si>
    <t>Freight</t>
  </si>
  <si>
    <t>貨物</t>
  </si>
  <si>
    <t>Вантажні перевезення</t>
  </si>
  <si>
    <t>navlun</t>
  </si>
  <si>
    <t>Teherszállítás</t>
  </si>
  <si>
    <t>Frakt</t>
  </si>
  <si>
    <t>화물</t>
  </si>
  <si>
    <t>Frete</t>
  </si>
  <si>
    <t>Bus</t>
  </si>
  <si>
    <t>バス</t>
  </si>
  <si>
    <t>Автобус</t>
  </si>
  <si>
    <t>Otobüs</t>
  </si>
  <si>
    <t>Autobús</t>
  </si>
  <si>
    <t>Busz</t>
  </si>
  <si>
    <t>Buss</t>
  </si>
  <si>
    <t>버스</t>
  </si>
  <si>
    <t>Ônibus</t>
  </si>
  <si>
    <t>Moto</t>
  </si>
  <si>
    <t>モト</t>
  </si>
  <si>
    <t>Мото</t>
  </si>
  <si>
    <t>Motorlu</t>
  </si>
  <si>
    <t>Motos</t>
  </si>
  <si>
    <t>모토</t>
  </si>
  <si>
    <t>moto</t>
  </si>
  <si>
    <t>Ships</t>
  </si>
  <si>
    <t>船</t>
  </si>
  <si>
    <t>Кораблі</t>
  </si>
  <si>
    <t>gemiler</t>
  </si>
  <si>
    <t>Buques</t>
  </si>
  <si>
    <t>Hajók</t>
  </si>
  <si>
    <t>Skip</t>
  </si>
  <si>
    <t>배들</t>
  </si>
  <si>
    <t>navios</t>
  </si>
  <si>
    <t>Rail Frt</t>
  </si>
  <si>
    <t>レールフロント</t>
  </si>
  <si>
    <t>Залізниця Frt</t>
  </si>
  <si>
    <t>Ray Frt</t>
  </si>
  <si>
    <t>Ferrocarril delantero</t>
  </si>
  <si>
    <t>레일프런트</t>
  </si>
  <si>
    <t>Rail passenger</t>
  </si>
  <si>
    <t>鉄道乗客</t>
  </si>
  <si>
    <t>Залізничний пасажир</t>
  </si>
  <si>
    <t>Demiryolu yolcusu</t>
  </si>
  <si>
    <t>pasajero de tren</t>
  </si>
  <si>
    <t>Vasúti utas</t>
  </si>
  <si>
    <t>Togpassasjer</t>
  </si>
  <si>
    <t>철도 승객</t>
  </si>
  <si>
    <t>passageiro ferroviário</t>
  </si>
  <si>
    <t>Rail-suburb</t>
  </si>
  <si>
    <t>鉄道郊外</t>
  </si>
  <si>
    <t>Залізниця-передмістя</t>
  </si>
  <si>
    <t>Raylı banliyö</t>
  </si>
  <si>
    <t>Suburbio ferroviario</t>
  </si>
  <si>
    <t>Vasút-külváros</t>
  </si>
  <si>
    <t>Jernbane-forstad</t>
  </si>
  <si>
    <t>철도-교외</t>
  </si>
  <si>
    <t>subúrbio ferroviário</t>
  </si>
  <si>
    <t>Farming</t>
  </si>
  <si>
    <t>Mezőgazdasági</t>
  </si>
  <si>
    <t>Growing</t>
  </si>
  <si>
    <t>成長する</t>
  </si>
  <si>
    <t>Зростання</t>
  </si>
  <si>
    <t>büyüyen</t>
  </si>
  <si>
    <t>Creciente</t>
  </si>
  <si>
    <t>Növekvő</t>
  </si>
  <si>
    <t>Vokser</t>
  </si>
  <si>
    <t>성장</t>
  </si>
  <si>
    <t>Crescente</t>
  </si>
  <si>
    <t>Agr Non-En</t>
  </si>
  <si>
    <t>農農園</t>
  </si>
  <si>
    <t>Tarım Dışı</t>
  </si>
  <si>
    <t>Agr No En</t>
  </si>
  <si>
    <t>Agr other</t>
  </si>
  <si>
    <t>農業その他</t>
  </si>
  <si>
    <t>Агр інше</t>
  </si>
  <si>
    <t>diğer</t>
  </si>
  <si>
    <t>otros agrícolas</t>
  </si>
  <si>
    <t>Agr egyéb</t>
  </si>
  <si>
    <t>Agr annet</t>
  </si>
  <si>
    <t>기타</t>
  </si>
  <si>
    <t>Agr outro</t>
  </si>
  <si>
    <t>Agr Transport</t>
  </si>
  <si>
    <t>農業輸送</t>
  </si>
  <si>
    <t>Агротранспорт</t>
  </si>
  <si>
    <t>Tarım Taşımacılığı</t>
  </si>
  <si>
    <t>transporte agrícola</t>
  </si>
  <si>
    <t>농업 운송</t>
  </si>
  <si>
    <t>Agr Transportes</t>
  </si>
  <si>
    <t>Com Non-en</t>
  </si>
  <si>
    <t>コムノンエン</t>
  </si>
  <si>
    <t>tr olmayan</t>
  </si>
  <si>
    <t>Com No es</t>
  </si>
  <si>
    <t>컴논엔</t>
  </si>
  <si>
    <t>Com-Transport</t>
  </si>
  <si>
    <t>コムトランスポート</t>
  </si>
  <si>
    <t>Ком-Транспорт</t>
  </si>
  <si>
    <t>Com-Transporte</t>
  </si>
  <si>
    <t>컴-트랜스포트</t>
  </si>
  <si>
    <t>Public</t>
  </si>
  <si>
    <t>公共</t>
  </si>
  <si>
    <t>Громадський</t>
  </si>
  <si>
    <t>Halk</t>
  </si>
  <si>
    <t>Público</t>
  </si>
  <si>
    <t>Nyilvános</t>
  </si>
  <si>
    <t>Offentlig</t>
  </si>
  <si>
    <t>공공의</t>
  </si>
  <si>
    <t>Aluminum</t>
  </si>
  <si>
    <t>アルミニウム</t>
  </si>
  <si>
    <t>Алюміній</t>
  </si>
  <si>
    <t>Alüminyum</t>
  </si>
  <si>
    <t>Aluminio</t>
  </si>
  <si>
    <t>Alumínium</t>
  </si>
  <si>
    <t>Aluminium</t>
  </si>
  <si>
    <t>알류미늄</t>
  </si>
  <si>
    <t>Alumínio</t>
  </si>
  <si>
    <t>Ammonia</t>
  </si>
  <si>
    <t>アンモニア</t>
  </si>
  <si>
    <t>Аміак</t>
  </si>
  <si>
    <t>Amonyak</t>
  </si>
  <si>
    <t>Amoníaco</t>
  </si>
  <si>
    <t>Ammónia</t>
  </si>
  <si>
    <t>Ammoniakk</t>
  </si>
  <si>
    <t>암모니아</t>
  </si>
  <si>
    <t>Amônia</t>
  </si>
  <si>
    <t>Chemicals</t>
  </si>
  <si>
    <t>化学薬品</t>
  </si>
  <si>
    <t>Хімікалії</t>
  </si>
  <si>
    <t>Kimyasallar</t>
  </si>
  <si>
    <t>quimicos</t>
  </si>
  <si>
    <t>Vegyszerek</t>
  </si>
  <si>
    <t>Kjemikalier</t>
  </si>
  <si>
    <t>화학</t>
  </si>
  <si>
    <t>Produtos químicos</t>
  </si>
  <si>
    <t>Cement</t>
  </si>
  <si>
    <t>セメント</t>
  </si>
  <si>
    <t>Цемент</t>
  </si>
  <si>
    <t>Çimento</t>
  </si>
  <si>
    <t>Cemento</t>
  </si>
  <si>
    <t>Sement</t>
  </si>
  <si>
    <t>시멘트</t>
  </si>
  <si>
    <t>Cimento</t>
  </si>
  <si>
    <t>Glass</t>
  </si>
  <si>
    <t>ガラス</t>
  </si>
  <si>
    <t>скло</t>
  </si>
  <si>
    <t>Bardak</t>
  </si>
  <si>
    <t>Vaso</t>
  </si>
  <si>
    <t>Üveg</t>
  </si>
  <si>
    <t>유리</t>
  </si>
  <si>
    <t>Vidro</t>
  </si>
  <si>
    <t>Iron and Steel</t>
  </si>
  <si>
    <t>鉄鋼</t>
  </si>
  <si>
    <t>Залізо та сталь</t>
  </si>
  <si>
    <t>Demir ve çelik</t>
  </si>
  <si>
    <t>Hierro y acero</t>
  </si>
  <si>
    <t>Vas és acél</t>
  </si>
  <si>
    <t>Jern og stål</t>
  </si>
  <si>
    <t>철과 강철</t>
  </si>
  <si>
    <t>Ferro e aço</t>
  </si>
  <si>
    <t>Lime</t>
  </si>
  <si>
    <t>ライム</t>
  </si>
  <si>
    <t>Вапно</t>
  </si>
  <si>
    <t>Kireç</t>
  </si>
  <si>
    <t>Cal</t>
  </si>
  <si>
    <t>Mész</t>
  </si>
  <si>
    <t>라임</t>
  </si>
  <si>
    <t>Lima</t>
  </si>
  <si>
    <t>Non-ferrous</t>
  </si>
  <si>
    <t>非鉄</t>
  </si>
  <si>
    <t>Кольорові метали</t>
  </si>
  <si>
    <t>demir dışı</t>
  </si>
  <si>
    <t>No ferroso</t>
  </si>
  <si>
    <t>Színesfém</t>
  </si>
  <si>
    <t>Ikke-jernholdig</t>
  </si>
  <si>
    <t>비철</t>
  </si>
  <si>
    <t>não ferroso</t>
  </si>
  <si>
    <t>Non-metal</t>
  </si>
  <si>
    <t>非金属</t>
  </si>
  <si>
    <t>Неметал</t>
  </si>
  <si>
    <t>metal olmayan</t>
  </si>
  <si>
    <t>No metal</t>
  </si>
  <si>
    <t>Nem fém</t>
  </si>
  <si>
    <t>Ikke-metall</t>
  </si>
  <si>
    <t>비금속</t>
  </si>
  <si>
    <t>Metalóide</t>
  </si>
  <si>
    <t>Other ind</t>
  </si>
  <si>
    <t>その他の産業</t>
  </si>
  <si>
    <t>Інші пром</t>
  </si>
  <si>
    <t>Diğer ind</t>
  </si>
  <si>
    <t>Otra ind.</t>
  </si>
  <si>
    <t>Egyéb ind</t>
  </si>
  <si>
    <t>Andre ind</t>
  </si>
  <si>
    <t>기타산업</t>
  </si>
  <si>
    <t>outro ind</t>
  </si>
  <si>
    <t>Pulp and paper</t>
  </si>
  <si>
    <t>パルプ・紙</t>
  </si>
  <si>
    <t>Целюлоза і папір</t>
  </si>
  <si>
    <t>Kağıt hamuru ve kağıt</t>
  </si>
  <si>
    <t>Pulpo y papel</t>
  </si>
  <si>
    <t>Pép és papír</t>
  </si>
  <si>
    <t>Masse og papir</t>
  </si>
  <si>
    <t>펄프와 종이</t>
  </si>
  <si>
    <t>Polpa e papel</t>
  </si>
  <si>
    <t>Non-energy</t>
  </si>
  <si>
    <t>非エネルギー</t>
  </si>
  <si>
    <t>Неенергетичні</t>
  </si>
  <si>
    <t>enerji dışı</t>
  </si>
  <si>
    <t>no energético</t>
  </si>
  <si>
    <t>Nem energia</t>
  </si>
  <si>
    <t>Ikke-energi</t>
  </si>
  <si>
    <t>비 에너지</t>
  </si>
  <si>
    <t>Não energético</t>
  </si>
  <si>
    <t>Export</t>
  </si>
  <si>
    <t>輸出</t>
  </si>
  <si>
    <t>Експорт</t>
  </si>
  <si>
    <t>İhracat</t>
  </si>
  <si>
    <t>Exportar</t>
  </si>
  <si>
    <t>Eksport</t>
  </si>
  <si>
    <t>내보내다</t>
  </si>
  <si>
    <t>Import</t>
  </si>
  <si>
    <t>輸入</t>
  </si>
  <si>
    <t>Імпорт</t>
  </si>
  <si>
    <t>İçe aktarmak</t>
  </si>
  <si>
    <t>Importar</t>
  </si>
  <si>
    <t>Importálás</t>
  </si>
  <si>
    <t>수입</t>
  </si>
  <si>
    <t>Losses</t>
  </si>
  <si>
    <t>損失</t>
  </si>
  <si>
    <t>Втрати</t>
  </si>
  <si>
    <t>Kayıplar</t>
  </si>
  <si>
    <t>Pérdidas</t>
  </si>
  <si>
    <t>Veszteség</t>
  </si>
  <si>
    <t>Tap</t>
  </si>
  <si>
    <t>사상자 수</t>
  </si>
  <si>
    <t>Perdas</t>
  </si>
  <si>
    <t>Mining</t>
  </si>
  <si>
    <t>マイニング</t>
  </si>
  <si>
    <t>Майнінг</t>
  </si>
  <si>
    <t>madencilik</t>
  </si>
  <si>
    <t>Minería</t>
  </si>
  <si>
    <t>Bányászati</t>
  </si>
  <si>
    <t>Gruvedrift</t>
  </si>
  <si>
    <t>채광</t>
  </si>
  <si>
    <t>Mineração</t>
  </si>
  <si>
    <t>Pipeines</t>
  </si>
  <si>
    <t>ピペイン</t>
  </si>
  <si>
    <t>Трубопроводи</t>
  </si>
  <si>
    <t>boru hatları</t>
  </si>
  <si>
    <t>Pipeínas</t>
  </si>
  <si>
    <t>Rørledninger</t>
  </si>
  <si>
    <t>파이프라인</t>
  </si>
  <si>
    <t>Oleodutos</t>
  </si>
  <si>
    <t>Pri proc</t>
  </si>
  <si>
    <t>プリプロシージャ</t>
  </si>
  <si>
    <t>При проц</t>
  </si>
  <si>
    <t>proceso pri</t>
  </si>
  <si>
    <t>Sec proc</t>
  </si>
  <si>
    <t>秒手続き</t>
  </si>
  <si>
    <t>sec proc</t>
  </si>
  <si>
    <t>proceso de segundo</t>
  </si>
  <si>
    <t>Sek proc</t>
  </si>
  <si>
    <t>초 절차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</si>
</sst>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19">
    <xf numFmtId="0" fontId="0" fillId="0" borderId="0"/>
    <xf numFmtId="164" fontId="7" fillId="0" borderId="0">
      <protection locked="0"/>
    </xf>
    <xf numFmtId="165" fontId="7" fillId="0" borderId="0">
      <protection locked="0"/>
    </xf>
    <xf numFmtId="166" fontId="8" fillId="0" borderId="0">
      <protection locked="0"/>
    </xf>
    <xf numFmtId="166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8">
    <xf numFmtId="0" fontId="0" fillId="0" borderId="0" xfId="0"/>
    <xf numFmtId="0" fontId="18" fillId="3" borderId="0" xfId="0" applyFont="1" applyFill="1"/>
    <xf numFmtId="0" fontId="19" fillId="4" borderId="0" xfId="0" applyFont="1" applyFill="1"/>
    <xf numFmtId="0" fontId="17" fillId="2" borderId="0" xfId="6" applyAlignment="1">
      <alignment horizontal="center"/>
    </xf>
    <xf numFmtId="0" fontId="0" fillId="0" borderId="0" xfId="0" quotePrefix="1"/>
    <xf numFmtId="0" fontId="17" fillId="2" borderId="0" xfId="6"/>
    <xf numFmtId="0" fontId="20" fillId="0" borderId="0" xfId="0" applyFont="1"/>
    <xf numFmtId="0" fontId="16" fillId="0" borderId="1" xfId="5"/>
  </cellXfs>
  <cellStyles count="19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 2" xfId="17" xr:uid="{00000000-0005-0000-0000-000011000000}"/>
    <cellStyle name="Standard_Sce_D_Extraction" xfId="18" xr:uid="{00000000-0005-0000-0000-00001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I5"/>
  <sheetViews>
    <sheetView zoomScaleNormal="100" workbookViewId="0">
      <selection activeCell="I6" sqref="I6"/>
    </sheetView>
  </sheetViews>
  <sheetFormatPr defaultRowHeight="15"/>
  <cols>
    <col min="1" max="1" width="10" bestFit="1" customWidth="1"/>
    <col min="2" max="2" width="8.42578125" bestFit="1" customWidth="1"/>
    <col min="3" max="5" width="24.85546875" bestFit="1" customWidth="1"/>
    <col min="7" max="7" width="20.28515625" bestFit="1" customWidth="1"/>
    <col min="8" max="8" width="23.42578125" bestFit="1" customWidth="1"/>
    <col min="9" max="9" width="11" bestFit="1" customWidth="1"/>
  </cols>
  <sheetData>
    <row r="1" spans="1:9">
      <c r="B1" t="s">
        <v>86</v>
      </c>
      <c r="I1" t="s">
        <v>82</v>
      </c>
    </row>
    <row r="2" spans="1:9">
      <c r="I2" t="s">
        <v>81</v>
      </c>
    </row>
    <row r="5" spans="1:9">
      <c r="A5" t="s">
        <v>25</v>
      </c>
      <c r="B5" t="s">
        <v>35</v>
      </c>
      <c r="C5" t="s">
        <v>2</v>
      </c>
      <c r="D5" t="s">
        <v>1</v>
      </c>
      <c r="E5" t="s">
        <v>24</v>
      </c>
      <c r="H5" t="s">
        <v>22</v>
      </c>
      <c r="I5" t="str">
        <f>"sg_"&amp;I2</f>
        <v>sg_CO2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U19"/>
  <sheetViews>
    <sheetView zoomScaleNormal="100" workbookViewId="0">
      <pane ySplit="2" topLeftCell="A3" activePane="bottomLeft" state="frozen"/>
      <selection pane="bottomLeft" activeCell="M7" sqref="M7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7.28515625" bestFit="1" customWidth="1"/>
    <col min="11" max="11" width="12.7109375" bestFit="1" customWidth="1"/>
    <col min="12" max="12" width="8.5703125" bestFit="1" customWidth="1"/>
    <col min="13" max="13" width="8.7109375" bestFit="1" customWidth="1"/>
    <col min="14" max="14" width="6.85546875" bestFit="1" customWidth="1"/>
    <col min="15" max="15" width="9.28515625" bestFit="1" customWidth="1"/>
    <col min="16" max="16" width="27" bestFit="1" customWidth="1"/>
    <col min="17" max="17" width="23.7109375" bestFit="1" customWidth="1"/>
    <col min="18" max="18" width="38.28515625" customWidth="1"/>
    <col min="19" max="19" width="2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21">
      <c r="A1" t="s">
        <v>36</v>
      </c>
    </row>
    <row r="2" spans="1:21">
      <c r="A2" t="s">
        <v>39</v>
      </c>
      <c r="B2" s="1" t="s">
        <v>25</v>
      </c>
      <c r="C2" s="1" t="s">
        <v>26</v>
      </c>
      <c r="D2" s="1" t="s">
        <v>37</v>
      </c>
      <c r="E2" s="1" t="s">
        <v>27</v>
      </c>
      <c r="F2" s="1" t="s">
        <v>28</v>
      </c>
      <c r="G2" s="1" t="s">
        <v>32</v>
      </c>
      <c r="H2" s="1" t="s">
        <v>33</v>
      </c>
      <c r="I2" s="1" t="s">
        <v>34</v>
      </c>
      <c r="J2" s="1" t="s">
        <v>29</v>
      </c>
      <c r="K2" s="1" t="s">
        <v>30</v>
      </c>
      <c r="L2" s="1" t="s">
        <v>31</v>
      </c>
      <c r="M2" s="1" t="s">
        <v>0</v>
      </c>
      <c r="N2" s="1" t="s">
        <v>18</v>
      </c>
      <c r="O2" s="1" t="s">
        <v>40</v>
      </c>
      <c r="P2" s="1" t="s">
        <v>2</v>
      </c>
      <c r="Q2" s="1" t="s">
        <v>1</v>
      </c>
      <c r="R2" s="1" t="s">
        <v>24</v>
      </c>
      <c r="T2" s="2"/>
      <c r="U2" s="3" t="s">
        <v>55</v>
      </c>
    </row>
    <row r="3" spans="1:21">
      <c r="B3">
        <v>1</v>
      </c>
      <c r="C3" t="s">
        <v>20</v>
      </c>
      <c r="E3" s="6" t="str">
        <f>PSet_MAP!$F$18</f>
        <v>ELEBIO,ELECOA,ELEELC,ELEGAS,ELEHYD,ELENUC,ELEOIL,ELESOL,ELEWIN</v>
      </c>
      <c r="M3" t="s">
        <v>21</v>
      </c>
      <c r="P3" t="s">
        <v>87</v>
      </c>
      <c r="Q3" t="s">
        <v>43</v>
      </c>
      <c r="R3" t="s">
        <v>44</v>
      </c>
    </row>
    <row r="4" spans="1:21" ht="15.75" thickBot="1">
      <c r="B4">
        <f>B3+1</f>
        <v>2</v>
      </c>
      <c r="C4" t="s">
        <v>72</v>
      </c>
      <c r="E4" s="7" t="str">
        <f t="shared" ref="E4:E9" si="0">$E$3</f>
        <v>ELEBIO,ELECOA,ELEELC,ELEGAS,ELEHYD,ELENUC,ELEOIL,ELESOL,ELEWIN</v>
      </c>
      <c r="M4" t="s">
        <v>21</v>
      </c>
      <c r="P4" t="s">
        <v>73</v>
      </c>
      <c r="Q4" t="s">
        <v>74</v>
      </c>
      <c r="R4" t="s">
        <v>75</v>
      </c>
    </row>
    <row r="5" spans="1:21" ht="16.5" thickTop="1" thickBot="1">
      <c r="B5">
        <f t="shared" ref="B5:B18" si="1">B4+1</f>
        <v>3</v>
      </c>
      <c r="C5" t="s">
        <v>16</v>
      </c>
      <c r="E5" s="7" t="str">
        <f t="shared" si="0"/>
        <v>ELEBIO,ELECOA,ELEELC,ELEGAS,ELEHYD,ELENUC,ELEOIL,ELESOL,ELEWIN</v>
      </c>
      <c r="K5" t="s">
        <v>19</v>
      </c>
      <c r="M5" t="s">
        <v>113</v>
      </c>
      <c r="P5" t="s">
        <v>80</v>
      </c>
      <c r="Q5" t="s">
        <v>46</v>
      </c>
      <c r="R5" t="s">
        <v>45</v>
      </c>
    </row>
    <row r="6" spans="1:21" ht="16.5" thickTop="1" thickBot="1">
      <c r="B6">
        <f t="shared" si="1"/>
        <v>4</v>
      </c>
      <c r="C6" t="s">
        <v>16</v>
      </c>
      <c r="E6" s="7" t="str">
        <f t="shared" si="0"/>
        <v>ELEBIO,ELECOA,ELEELC,ELEGAS,ELEHYD,ELENUC,ELEOIL,ELESOL,ELEWIN</v>
      </c>
      <c r="K6" t="s">
        <v>104</v>
      </c>
      <c r="M6" t="s">
        <v>113</v>
      </c>
      <c r="P6" t="s">
        <v>106</v>
      </c>
      <c r="Q6" t="s">
        <v>107</v>
      </c>
      <c r="R6" t="s">
        <v>105</v>
      </c>
    </row>
    <row r="7" spans="1:21" ht="16.5" thickTop="1" thickBot="1">
      <c r="B7">
        <f t="shared" si="1"/>
        <v>5</v>
      </c>
      <c r="C7" t="s">
        <v>16</v>
      </c>
      <c r="E7" s="7" t="str">
        <f t="shared" si="0"/>
        <v>ELEBIO,ELECOA,ELEELC,ELEGAS,ELEHYD,ELENUC,ELEOIL,ELESOL,ELEWIN</v>
      </c>
      <c r="K7" t="s">
        <v>38</v>
      </c>
      <c r="M7" t="s">
        <v>17</v>
      </c>
      <c r="P7" t="s">
        <v>64</v>
      </c>
      <c r="Q7" t="s">
        <v>65</v>
      </c>
      <c r="R7" t="s">
        <v>66</v>
      </c>
    </row>
    <row r="8" spans="1:21" ht="16.5" thickTop="1" thickBot="1">
      <c r="B8">
        <f t="shared" si="1"/>
        <v>6</v>
      </c>
      <c r="C8" t="s">
        <v>16</v>
      </c>
      <c r="E8" s="7" t="str">
        <f t="shared" si="0"/>
        <v>ELEBIO,ELECOA,ELEELC,ELEGAS,ELEHYD,ELENUC,ELEOIL,ELESOL,ELEWIN</v>
      </c>
      <c r="K8" t="s">
        <v>88</v>
      </c>
      <c r="M8" t="s">
        <v>17</v>
      </c>
      <c r="P8" t="s">
        <v>89</v>
      </c>
      <c r="Q8" t="s">
        <v>90</v>
      </c>
      <c r="R8" t="s">
        <v>91</v>
      </c>
    </row>
    <row r="9" spans="1:21" ht="16.5" thickTop="1" thickBot="1">
      <c r="B9">
        <f t="shared" si="1"/>
        <v>7</v>
      </c>
      <c r="C9" t="s">
        <v>47</v>
      </c>
      <c r="E9" s="7" t="str">
        <f t="shared" si="0"/>
        <v>ELEBIO,ELECOA,ELEELC,ELEGAS,ELEHYD,ELENUC,ELEOIL,ELESOL,ELEWIN</v>
      </c>
      <c r="J9" t="s">
        <v>48</v>
      </c>
      <c r="M9" t="s">
        <v>113</v>
      </c>
      <c r="P9" t="s">
        <v>49</v>
      </c>
      <c r="Q9" t="s">
        <v>50</v>
      </c>
      <c r="R9" t="s">
        <v>51</v>
      </c>
    </row>
    <row r="10" spans="1:21" ht="15.75" thickTop="1">
      <c r="B10">
        <f t="shared" si="1"/>
        <v>8</v>
      </c>
      <c r="C10" t="s">
        <v>54</v>
      </c>
      <c r="K10" t="s">
        <v>126</v>
      </c>
      <c r="M10" t="s">
        <v>125</v>
      </c>
      <c r="P10" t="s">
        <v>76</v>
      </c>
      <c r="Q10" t="s">
        <v>77</v>
      </c>
      <c r="R10" t="s">
        <v>78</v>
      </c>
    </row>
    <row r="11" spans="1:21" ht="15.75" thickBot="1">
      <c r="B11">
        <f t="shared" si="1"/>
        <v>9</v>
      </c>
      <c r="C11" t="s">
        <v>56</v>
      </c>
      <c r="E11" s="7" t="str">
        <f>$E$3</f>
        <v>ELEBIO,ELECOA,ELEELC,ELEGAS,ELEHYD,ELENUC,ELEOIL,ELESOL,ELEWIN</v>
      </c>
      <c r="M11" t="s">
        <v>114</v>
      </c>
      <c r="P11" t="s">
        <v>57</v>
      </c>
      <c r="Q11" t="s">
        <v>58</v>
      </c>
      <c r="R11" t="s">
        <v>59</v>
      </c>
    </row>
    <row r="12" spans="1:21" ht="15.75" thickTop="1">
      <c r="B12">
        <f t="shared" si="1"/>
        <v>10</v>
      </c>
      <c r="C12" t="s">
        <v>16</v>
      </c>
      <c r="E12" t="s">
        <v>93</v>
      </c>
      <c r="K12" t="s">
        <v>19</v>
      </c>
      <c r="M12" t="s">
        <v>113</v>
      </c>
      <c r="P12" t="s">
        <v>96</v>
      </c>
      <c r="Q12" t="s">
        <v>94</v>
      </c>
      <c r="R12" t="s">
        <v>98</v>
      </c>
    </row>
    <row r="13" spans="1:21">
      <c r="B13">
        <f t="shared" si="1"/>
        <v>11</v>
      </c>
      <c r="C13" t="s">
        <v>47</v>
      </c>
      <c r="E13" t="s">
        <v>93</v>
      </c>
      <c r="K13" t="s">
        <v>19</v>
      </c>
      <c r="M13" t="s">
        <v>113</v>
      </c>
      <c r="P13" t="s">
        <v>97</v>
      </c>
      <c r="Q13" t="s">
        <v>95</v>
      </c>
      <c r="R13" t="s">
        <v>99</v>
      </c>
    </row>
    <row r="14" spans="1:21">
      <c r="B14">
        <f t="shared" si="1"/>
        <v>12</v>
      </c>
      <c r="C14" t="s">
        <v>47</v>
      </c>
      <c r="E14" t="str">
        <f>PSet_MAP!$F$7</f>
        <v>FUEL_AGR,FUEL_COM,FUEL_IND,FUEL_RES,FUEL_TRA</v>
      </c>
      <c r="J14" t="s">
        <v>115</v>
      </c>
      <c r="M14" t="s">
        <v>113</v>
      </c>
      <c r="P14" t="s">
        <v>120</v>
      </c>
      <c r="Q14" t="str">
        <f>MID(P14,4,20)&amp;".FE"</f>
        <v>&lt;Pset&gt;-Elec.FE</v>
      </c>
      <c r="R14" t="str">
        <f>"FE  &lt;Pset&gt; - "&amp;MID(P14,11,20)</f>
        <v>FE  &lt;Pset&gt; - Elec</v>
      </c>
    </row>
    <row r="15" spans="1:21" ht="15.75" thickBot="1">
      <c r="B15">
        <f t="shared" si="1"/>
        <v>13</v>
      </c>
      <c r="C15" t="s">
        <v>47</v>
      </c>
      <c r="E15" s="7" t="str">
        <f>$E$14</f>
        <v>FUEL_AGR,FUEL_COM,FUEL_IND,FUEL_RES,FUEL_TRA</v>
      </c>
      <c r="J15" t="s">
        <v>116</v>
      </c>
      <c r="M15" t="s">
        <v>113</v>
      </c>
      <c r="P15" t="s">
        <v>121</v>
      </c>
      <c r="Q15" t="str">
        <f>MID(P15,4,20)&amp;".FE"</f>
        <v>&lt;Pset&gt;-Gas.FE</v>
      </c>
      <c r="R15" t="str">
        <f>"FE  &lt;Pset&gt; - "&amp;MID(P15,11,20)</f>
        <v>FE  &lt;Pset&gt; - Gas</v>
      </c>
    </row>
    <row r="16" spans="1:21" ht="16.5" thickTop="1" thickBot="1">
      <c r="B16">
        <f t="shared" si="1"/>
        <v>14</v>
      </c>
      <c r="C16" t="s">
        <v>47</v>
      </c>
      <c r="E16" s="7" t="str">
        <f>$E$14</f>
        <v>FUEL_AGR,FUEL_COM,FUEL_IND,FUEL_RES,FUEL_TRA</v>
      </c>
      <c r="J16" t="s">
        <v>117</v>
      </c>
      <c r="M16" t="s">
        <v>113</v>
      </c>
      <c r="P16" t="s">
        <v>122</v>
      </c>
      <c r="Q16" t="str">
        <f>MID(P16,4,20)&amp;".FE"</f>
        <v>&lt;Pset&gt;-Oil.FE</v>
      </c>
      <c r="R16" t="str">
        <f>"FE  &lt;Pset&gt; - "&amp;MID(P16,11,20)</f>
        <v>FE  &lt;Pset&gt; - Oil</v>
      </c>
    </row>
    <row r="17" spans="2:18" ht="16.5" thickTop="1" thickBot="1">
      <c r="B17">
        <f t="shared" si="1"/>
        <v>15</v>
      </c>
      <c r="C17" t="s">
        <v>47</v>
      </c>
      <c r="E17" s="7" t="str">
        <f>$E$14</f>
        <v>FUEL_AGR,FUEL_COM,FUEL_IND,FUEL_RES,FUEL_TRA</v>
      </c>
      <c r="J17" t="s">
        <v>118</v>
      </c>
      <c r="M17" t="s">
        <v>113</v>
      </c>
      <c r="P17" t="s">
        <v>123</v>
      </c>
      <c r="Q17" t="str">
        <f>MID(P17,4,20)&amp;".FE"</f>
        <v>&lt;Pset&gt;-Rnw.FE</v>
      </c>
      <c r="R17" t="str">
        <f>"FE  &lt;Pset&gt; - "&amp;MID(P17,11,20)</f>
        <v>FE  &lt;Pset&gt; - Rnw</v>
      </c>
    </row>
    <row r="18" spans="2:18" ht="16.5" thickTop="1" thickBot="1">
      <c r="B18">
        <f t="shared" si="1"/>
        <v>16</v>
      </c>
      <c r="C18" t="s">
        <v>47</v>
      </c>
      <c r="E18" s="7" t="str">
        <f>$E$14</f>
        <v>FUEL_AGR,FUEL_COM,FUEL_IND,FUEL_RES,FUEL_TRA</v>
      </c>
      <c r="J18" t="s">
        <v>119</v>
      </c>
      <c r="M18" t="s">
        <v>113</v>
      </c>
      <c r="P18" t="s">
        <v>124</v>
      </c>
      <c r="Q18" t="str">
        <f>MID(P18,4,20)&amp;".FE"</f>
        <v>&lt;Pset&gt;-Solid.FE</v>
      </c>
      <c r="R18" t="str">
        <f>"FE  &lt;Pset&gt; - "&amp;MID(P18,11,20)</f>
        <v>FE  &lt;Pset&gt; - Solid</v>
      </c>
    </row>
    <row r="19" spans="2:18" ht="15.75" thickTop="1"/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18"/>
  <sheetViews>
    <sheetView workbookViewId="0">
      <selection activeCell="B3" sqref="B3:B18"/>
    </sheetView>
  </sheetViews>
  <sheetFormatPr defaultRowHeight="15"/>
  <cols>
    <col min="1" max="1" width="24.28515625" bestFit="1" customWidth="1"/>
    <col min="2" max="2" width="23.28515625" bestFit="1" customWidth="1"/>
    <col min="3" max="3" width="37.140625" bestFit="1" customWidth="1"/>
    <col min="6" max="6" width="11" bestFit="1" customWidth="1"/>
  </cols>
  <sheetData>
    <row r="1" spans="1:6">
      <c r="A1" s="1" t="s">
        <v>41</v>
      </c>
    </row>
    <row r="2" spans="1:6">
      <c r="A2" t="s">
        <v>42</v>
      </c>
      <c r="B2" t="s">
        <v>1</v>
      </c>
      <c r="C2" t="s">
        <v>24</v>
      </c>
    </row>
    <row r="3" spans="1:6">
      <c r="A3" t="s">
        <v>127</v>
      </c>
      <c r="B3" t="s">
        <v>23</v>
      </c>
      <c r="C3" t="str">
        <f>B3</f>
        <v>Agriculture</v>
      </c>
      <c r="F3" s="5" t="str">
        <f>A3</f>
        <v>FUEL_AGR</v>
      </c>
    </row>
    <row r="4" spans="1:6">
      <c r="A4" t="s">
        <v>128</v>
      </c>
      <c r="B4" t="s">
        <v>14</v>
      </c>
      <c r="C4" t="str">
        <f t="shared" ref="C4:C18" si="0">B4</f>
        <v>Commercial</v>
      </c>
      <c r="F4" s="5" t="str">
        <f>F3&amp;","&amp;A4</f>
        <v>FUEL_AGR,FUEL_COM</v>
      </c>
    </row>
    <row r="5" spans="1:6">
      <c r="A5" t="s">
        <v>129</v>
      </c>
      <c r="B5" t="s">
        <v>6</v>
      </c>
      <c r="C5" t="str">
        <f t="shared" si="0"/>
        <v>Industry</v>
      </c>
      <c r="F5" s="5" t="str">
        <f>F4&amp;","&amp;A5</f>
        <v>FUEL_AGR,FUEL_COM,FUEL_IND</v>
      </c>
    </row>
    <row r="6" spans="1:6">
      <c r="A6" t="s">
        <v>130</v>
      </c>
      <c r="B6" t="s">
        <v>15</v>
      </c>
      <c r="C6" t="str">
        <f t="shared" si="0"/>
        <v>Residential</v>
      </c>
      <c r="F6" s="5" t="str">
        <f>F5&amp;","&amp;A6</f>
        <v>FUEL_AGR,FUEL_COM,FUEL_IND,FUEL_RES</v>
      </c>
    </row>
    <row r="7" spans="1:6">
      <c r="A7" t="s">
        <v>131</v>
      </c>
      <c r="B7" t="s">
        <v>7</v>
      </c>
      <c r="C7" t="str">
        <f t="shared" si="0"/>
        <v>Transport</v>
      </c>
      <c r="F7" s="5" t="str">
        <f>F6&amp;","&amp;A7</f>
        <v>FUEL_AGR,FUEL_COM,FUEL_IND,FUEL_RES,FUEL_TRA</v>
      </c>
    </row>
    <row r="8" spans="1:6">
      <c r="A8" t="s">
        <v>108</v>
      </c>
      <c r="B8" t="s">
        <v>109</v>
      </c>
      <c r="C8" t="str">
        <f t="shared" si="0"/>
        <v>Trade</v>
      </c>
      <c r="F8" s="5" t="str">
        <f>A8</f>
        <v>TRD_ENDO</v>
      </c>
    </row>
    <row r="9" spans="1:6">
      <c r="A9" t="s">
        <v>110</v>
      </c>
      <c r="B9" t="s">
        <v>111</v>
      </c>
      <c r="C9" t="str">
        <f t="shared" si="0"/>
        <v>DumImp</v>
      </c>
      <c r="F9" s="5" t="str">
        <f>A9</f>
        <v>DUMIMP</v>
      </c>
    </row>
    <row r="10" spans="1:6">
      <c r="A10" t="s">
        <v>83</v>
      </c>
      <c r="B10" t="s">
        <v>3</v>
      </c>
      <c r="C10" t="str">
        <f t="shared" si="0"/>
        <v>Bio</v>
      </c>
      <c r="F10" s="5" t="str">
        <f>A10</f>
        <v>ELEBIO</v>
      </c>
    </row>
    <row r="11" spans="1:6">
      <c r="A11" t="s">
        <v>84</v>
      </c>
      <c r="B11" t="s">
        <v>4</v>
      </c>
      <c r="C11" t="str">
        <f t="shared" si="0"/>
        <v>Coal</v>
      </c>
      <c r="F11" s="5" t="str">
        <f t="shared" ref="F11:F18" si="1">F10&amp;","&amp;A11</f>
        <v>ELEBIO,ELECOA</v>
      </c>
    </row>
    <row r="12" spans="1:6">
      <c r="A12" t="s">
        <v>112</v>
      </c>
      <c r="B12" t="s">
        <v>92</v>
      </c>
      <c r="C12" t="str">
        <f t="shared" si="0"/>
        <v>Storage</v>
      </c>
      <c r="F12" s="5" t="str">
        <f t="shared" si="1"/>
        <v>ELEBIO,ELECOA,ELEELC</v>
      </c>
    </row>
    <row r="13" spans="1:6">
      <c r="A13" t="s">
        <v>85</v>
      </c>
      <c r="B13" t="s">
        <v>5</v>
      </c>
      <c r="C13" t="str">
        <f t="shared" si="0"/>
        <v>Gas</v>
      </c>
      <c r="F13" s="5" t="str">
        <f t="shared" si="1"/>
        <v>ELEBIO,ELECOA,ELEELC,ELEGAS</v>
      </c>
    </row>
    <row r="14" spans="1:6">
      <c r="A14" t="s">
        <v>61</v>
      </c>
      <c r="B14" t="s">
        <v>8</v>
      </c>
      <c r="C14" t="str">
        <f t="shared" si="0"/>
        <v>Hydro</v>
      </c>
      <c r="F14" s="5" t="str">
        <f t="shared" si="1"/>
        <v>ELEBIO,ELECOA,ELEELC,ELEGAS,ELEHYD</v>
      </c>
    </row>
    <row r="15" spans="1:6">
      <c r="A15" t="s">
        <v>62</v>
      </c>
      <c r="B15" t="s">
        <v>9</v>
      </c>
      <c r="C15" t="str">
        <f t="shared" si="0"/>
        <v>Nuclear</v>
      </c>
      <c r="F15" s="5" t="str">
        <f t="shared" si="1"/>
        <v>ELEBIO,ELECOA,ELEELC,ELEGAS,ELEHYD,ELENUC</v>
      </c>
    </row>
    <row r="16" spans="1:6">
      <c r="A16" t="s">
        <v>79</v>
      </c>
      <c r="B16" t="s">
        <v>10</v>
      </c>
      <c r="C16" t="str">
        <f t="shared" si="0"/>
        <v>Oil</v>
      </c>
      <c r="F16" s="5" t="str">
        <f t="shared" si="1"/>
        <v>ELEBIO,ELECOA,ELEELC,ELEGAS,ELEHYD,ELENUC,ELEOIL</v>
      </c>
    </row>
    <row r="17" spans="1:6">
      <c r="A17" t="s">
        <v>63</v>
      </c>
      <c r="B17" t="s">
        <v>11</v>
      </c>
      <c r="C17" t="str">
        <f t="shared" si="0"/>
        <v>Solar</v>
      </c>
      <c r="F17" s="5" t="str">
        <f t="shared" si="1"/>
        <v>ELEBIO,ELECOA,ELEELC,ELEGAS,ELEHYD,ELENUC,ELEOIL,ELESOL</v>
      </c>
    </row>
    <row r="18" spans="1:6">
      <c r="A18" t="s">
        <v>60</v>
      </c>
      <c r="B18" t="s">
        <v>12</v>
      </c>
      <c r="C18" t="str">
        <f t="shared" si="0"/>
        <v>Wind</v>
      </c>
      <c r="F18" s="5" t="str">
        <f t="shared" si="1"/>
        <v>ELEBIO,ELECOA,ELEELC,ELEGAS,ELEHYD,ELENUC,ELEOIL,ELESOL,ELEWIN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CFA4E-267F-4993-9230-2657ED664080}">
  <dimension ref="A1:J35"/>
  <sheetViews>
    <sheetView workbookViewId="0">
      <selection activeCell="C36" sqref="C36"/>
    </sheetView>
  </sheetViews>
  <sheetFormatPr defaultRowHeight="15"/>
  <cols>
    <col min="1" max="1" width="11.28515625" bestFit="1" customWidth="1"/>
    <col min="2" max="2" width="13.7109375" bestFit="1" customWidth="1"/>
    <col min="3" max="3" width="11.5703125" bestFit="1" customWidth="1"/>
  </cols>
  <sheetData>
    <row r="1" spans="1:6">
      <c r="A1" t="s">
        <v>132</v>
      </c>
    </row>
    <row r="2" spans="1:6">
      <c r="A2" t="s">
        <v>133</v>
      </c>
      <c r="B2" t="s">
        <v>134</v>
      </c>
      <c r="C2" t="s">
        <v>135</v>
      </c>
    </row>
    <row r="3" spans="1:6">
      <c r="A3" t="s">
        <v>136</v>
      </c>
      <c r="B3" t="str">
        <f>"*"&amp;F3&amp;"*"</f>
        <v>*Agriculture*</v>
      </c>
      <c r="C3" t="str">
        <f>F3</f>
        <v>Agriculture</v>
      </c>
      <c r="F3" t="s">
        <v>23</v>
      </c>
    </row>
    <row r="4" spans="1:6">
      <c r="A4" t="s">
        <v>136</v>
      </c>
      <c r="B4" t="str">
        <f t="shared" ref="B4:B9" si="0">"*"&amp;F4&amp;"*"</f>
        <v>*Commercial*</v>
      </c>
      <c r="C4" t="str">
        <f t="shared" ref="C4:C23" si="1">F4</f>
        <v>Commercial</v>
      </c>
      <c r="F4" t="s">
        <v>14</v>
      </c>
    </row>
    <row r="5" spans="1:6">
      <c r="A5" t="s">
        <v>136</v>
      </c>
      <c r="B5" t="str">
        <f t="shared" si="0"/>
        <v>*Industry*</v>
      </c>
      <c r="C5" t="str">
        <f t="shared" si="1"/>
        <v>Industry</v>
      </c>
      <c r="F5" t="s">
        <v>6</v>
      </c>
    </row>
    <row r="6" spans="1:6">
      <c r="A6" t="s">
        <v>136</v>
      </c>
      <c r="B6" t="str">
        <f t="shared" si="0"/>
        <v>*Residential*</v>
      </c>
      <c r="C6" t="str">
        <f t="shared" si="1"/>
        <v>Residential</v>
      </c>
      <c r="F6" t="s">
        <v>15</v>
      </c>
    </row>
    <row r="7" spans="1:6">
      <c r="A7" t="s">
        <v>136</v>
      </c>
      <c r="B7" t="str">
        <f t="shared" si="0"/>
        <v>*Transport*</v>
      </c>
      <c r="C7" t="str">
        <f t="shared" si="1"/>
        <v>Transport</v>
      </c>
      <c r="F7" t="s">
        <v>7</v>
      </c>
    </row>
    <row r="8" spans="1:6">
      <c r="A8" t="s">
        <v>136</v>
      </c>
      <c r="B8" t="str">
        <f t="shared" si="0"/>
        <v>*Trade*</v>
      </c>
      <c r="C8" t="str">
        <f t="shared" si="1"/>
        <v>Trade</v>
      </c>
      <c r="F8" t="s">
        <v>109</v>
      </c>
    </row>
    <row r="9" spans="1:6">
      <c r="A9" t="s">
        <v>136</v>
      </c>
      <c r="B9" t="str">
        <f t="shared" si="0"/>
        <v>*DumImp*</v>
      </c>
      <c r="C9" t="str">
        <f t="shared" si="1"/>
        <v>DumImp</v>
      </c>
      <c r="F9" t="s">
        <v>111</v>
      </c>
    </row>
    <row r="10" spans="1:6">
      <c r="A10" t="s">
        <v>137</v>
      </c>
      <c r="B10" t="str">
        <f>"*_"&amp;F10</f>
        <v>*_Bio</v>
      </c>
      <c r="C10" t="str">
        <f t="shared" si="1"/>
        <v>Bio</v>
      </c>
      <c r="F10" t="s">
        <v>3</v>
      </c>
    </row>
    <row r="11" spans="1:6">
      <c r="A11" t="s">
        <v>137</v>
      </c>
      <c r="B11" t="str">
        <f t="shared" ref="B11:B18" si="2">"*_"&amp;F11</f>
        <v>*_Coal</v>
      </c>
      <c r="C11" t="str">
        <f t="shared" si="1"/>
        <v>Coal</v>
      </c>
      <c r="F11" t="s">
        <v>4</v>
      </c>
    </row>
    <row r="12" spans="1:6">
      <c r="A12" t="s">
        <v>137</v>
      </c>
      <c r="B12" t="str">
        <f t="shared" si="2"/>
        <v>*_Storage</v>
      </c>
      <c r="C12" t="str">
        <f t="shared" si="1"/>
        <v>Storage</v>
      </c>
      <c r="F12" t="s">
        <v>92</v>
      </c>
    </row>
    <row r="13" spans="1:6">
      <c r="A13" t="s">
        <v>137</v>
      </c>
      <c r="B13" t="str">
        <f t="shared" si="2"/>
        <v>*_Gas</v>
      </c>
      <c r="C13" t="str">
        <f t="shared" si="1"/>
        <v>Gas</v>
      </c>
      <c r="F13" t="s">
        <v>5</v>
      </c>
    </row>
    <row r="14" spans="1:6">
      <c r="A14" t="s">
        <v>137</v>
      </c>
      <c r="B14" t="str">
        <f t="shared" si="2"/>
        <v>*_Hydro</v>
      </c>
      <c r="C14" t="str">
        <f t="shared" si="1"/>
        <v>Hydro</v>
      </c>
      <c r="F14" t="s">
        <v>8</v>
      </c>
    </row>
    <row r="15" spans="1:6">
      <c r="A15" t="s">
        <v>137</v>
      </c>
      <c r="B15" t="str">
        <f t="shared" si="2"/>
        <v>*_Nuclear</v>
      </c>
      <c r="C15" t="str">
        <f t="shared" si="1"/>
        <v>Nuclear</v>
      </c>
      <c r="F15" t="s">
        <v>9</v>
      </c>
    </row>
    <row r="16" spans="1:6">
      <c r="A16" t="s">
        <v>137</v>
      </c>
      <c r="B16" t="str">
        <f t="shared" si="2"/>
        <v>*_Oil</v>
      </c>
      <c r="C16" t="str">
        <f t="shared" si="1"/>
        <v>Oil</v>
      </c>
      <c r="F16" t="s">
        <v>10</v>
      </c>
    </row>
    <row r="17" spans="1:10">
      <c r="A17" t="s">
        <v>137</v>
      </c>
      <c r="B17" t="str">
        <f t="shared" si="2"/>
        <v>*_Solar</v>
      </c>
      <c r="C17" t="str">
        <f t="shared" si="1"/>
        <v>Solar</v>
      </c>
      <c r="F17" t="s">
        <v>11</v>
      </c>
    </row>
    <row r="18" spans="1:10">
      <c r="A18" t="s">
        <v>137</v>
      </c>
      <c r="B18" t="str">
        <f t="shared" si="2"/>
        <v>*_Wind</v>
      </c>
      <c r="C18" t="str">
        <f t="shared" si="1"/>
        <v>Wind</v>
      </c>
      <c r="F18" t="s">
        <v>12</v>
      </c>
    </row>
    <row r="19" spans="1:10">
      <c r="A19" t="s">
        <v>138</v>
      </c>
      <c r="B19" t="str">
        <f>"*-"&amp;F19</f>
        <v>*-Elec</v>
      </c>
      <c r="C19" t="str">
        <f t="shared" si="1"/>
        <v>Elec</v>
      </c>
      <c r="F19" t="str">
        <f>MID(H19,11,10)</f>
        <v>Elec</v>
      </c>
      <c r="H19" t="s">
        <v>120</v>
      </c>
    </row>
    <row r="20" spans="1:10">
      <c r="A20" t="s">
        <v>138</v>
      </c>
      <c r="B20" t="str">
        <f t="shared" ref="B20:B23" si="3">"*-"&amp;F20</f>
        <v>*-Gas</v>
      </c>
      <c r="C20" t="str">
        <f t="shared" si="1"/>
        <v>Gas</v>
      </c>
      <c r="F20" t="str">
        <f t="shared" ref="F20:F23" si="4">MID(H20,11,10)</f>
        <v>Gas</v>
      </c>
      <c r="H20" t="s">
        <v>121</v>
      </c>
    </row>
    <row r="21" spans="1:10">
      <c r="A21" t="s">
        <v>138</v>
      </c>
      <c r="B21" t="str">
        <f t="shared" si="3"/>
        <v>*-Oil</v>
      </c>
      <c r="C21" t="str">
        <f t="shared" si="1"/>
        <v>Oil</v>
      </c>
      <c r="F21" t="str">
        <f t="shared" si="4"/>
        <v>Oil</v>
      </c>
      <c r="H21" t="s">
        <v>122</v>
      </c>
    </row>
    <row r="22" spans="1:10">
      <c r="A22" t="s">
        <v>138</v>
      </c>
      <c r="B22" t="str">
        <f t="shared" si="3"/>
        <v>*-Rnw</v>
      </c>
      <c r="C22" t="str">
        <f t="shared" si="1"/>
        <v>Rnw</v>
      </c>
      <c r="F22" t="str">
        <f t="shared" si="4"/>
        <v>Rnw</v>
      </c>
      <c r="H22" t="s">
        <v>123</v>
      </c>
    </row>
    <row r="23" spans="1:10">
      <c r="A23" t="s">
        <v>138</v>
      </c>
      <c r="B23" t="str">
        <f t="shared" si="3"/>
        <v>*-Solid</v>
      </c>
      <c r="C23" t="str">
        <f t="shared" si="1"/>
        <v>Solid</v>
      </c>
      <c r="F23" t="str">
        <f t="shared" si="4"/>
        <v>Solid</v>
      </c>
      <c r="H23" t="s">
        <v>124</v>
      </c>
    </row>
    <row r="24" spans="1:10">
      <c r="A24" t="s">
        <v>139</v>
      </c>
      <c r="B24" t="str">
        <f>LEFT(J24,FIND("_",J24))&amp;"*"</f>
        <v>ECap_*</v>
      </c>
      <c r="C24" t="s">
        <v>140</v>
      </c>
      <c r="J24" t="s">
        <v>87</v>
      </c>
    </row>
    <row r="25" spans="1:10">
      <c r="A25" t="s">
        <v>139</v>
      </c>
      <c r="B25" t="str">
        <f t="shared" ref="B25:B35" si="5">LEFT(J25,FIND("_",J25))&amp;"*"</f>
        <v>NewCap_*</v>
      </c>
      <c r="C25" t="s">
        <v>141</v>
      </c>
      <c r="J25" t="s">
        <v>73</v>
      </c>
    </row>
    <row r="26" spans="1:10">
      <c r="A26" t="s">
        <v>139</v>
      </c>
      <c r="B26" t="str">
        <f t="shared" si="5"/>
        <v>EProd_*</v>
      </c>
      <c r="C26" t="s">
        <v>142</v>
      </c>
      <c r="J26" t="s">
        <v>80</v>
      </c>
    </row>
    <row r="27" spans="1:10">
      <c r="A27" t="s">
        <v>139</v>
      </c>
      <c r="B27" t="str">
        <f t="shared" si="5"/>
        <v>Emi_*</v>
      </c>
      <c r="C27" t="s">
        <v>143</v>
      </c>
      <c r="J27" t="s">
        <v>64</v>
      </c>
    </row>
    <row r="28" spans="1:10">
      <c r="A28" t="s">
        <v>139</v>
      </c>
      <c r="B28" t="str">
        <f t="shared" si="5"/>
        <v>EFuel_*</v>
      </c>
      <c r="C28" t="s">
        <v>144</v>
      </c>
      <c r="J28" t="s">
        <v>49</v>
      </c>
    </row>
    <row r="29" spans="1:10">
      <c r="A29" t="s">
        <v>139</v>
      </c>
      <c r="B29" t="str">
        <f t="shared" si="5"/>
        <v>Price_*</v>
      </c>
      <c r="C29" t="s">
        <v>145</v>
      </c>
      <c r="J29" t="s">
        <v>76</v>
      </c>
    </row>
    <row r="30" spans="1:10">
      <c r="A30" t="s">
        <v>139</v>
      </c>
      <c r="B30" t="str">
        <f t="shared" si="5"/>
        <v>ICost_*</v>
      </c>
      <c r="C30" t="s">
        <v>146</v>
      </c>
      <c r="J30" t="s">
        <v>57</v>
      </c>
    </row>
    <row r="31" spans="1:10">
      <c r="A31" t="s">
        <v>139</v>
      </c>
      <c r="B31" t="str">
        <f t="shared" si="5"/>
        <v>Elec_*</v>
      </c>
      <c r="C31" t="s">
        <v>109</v>
      </c>
      <c r="J31" t="s">
        <v>96</v>
      </c>
    </row>
    <row r="32" spans="1:10">
      <c r="A32" t="s">
        <v>139</v>
      </c>
      <c r="B32" t="str">
        <f t="shared" si="5"/>
        <v>FE_*</v>
      </c>
      <c r="C32" t="s">
        <v>147</v>
      </c>
      <c r="J32" t="s">
        <v>120</v>
      </c>
    </row>
    <row r="33" spans="1:10">
      <c r="A33" t="s">
        <v>139</v>
      </c>
      <c r="B33" t="str">
        <f t="shared" si="5"/>
        <v>co2int_*</v>
      </c>
      <c r="C33" t="s">
        <v>151</v>
      </c>
      <c r="J33" t="s">
        <v>148</v>
      </c>
    </row>
    <row r="34" spans="1:10">
      <c r="A34" t="s">
        <v>139</v>
      </c>
      <c r="B34" t="str">
        <f t="shared" si="5"/>
        <v>eff_*</v>
      </c>
      <c r="C34" t="s">
        <v>152</v>
      </c>
      <c r="J34" t="s">
        <v>149</v>
      </c>
    </row>
    <row r="35" spans="1:10">
      <c r="A35" t="s">
        <v>139</v>
      </c>
      <c r="B35" t="str">
        <f t="shared" si="5"/>
        <v>cf_*</v>
      </c>
      <c r="C35" t="s">
        <v>153</v>
      </c>
      <c r="J35" t="s">
        <v>150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52</v>
      </c>
    </row>
    <row r="2" spans="1:3">
      <c r="A2" t="s">
        <v>53</v>
      </c>
      <c r="B2" t="s">
        <v>1</v>
      </c>
      <c r="C2" t="s">
        <v>24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100</v>
      </c>
    </row>
    <row r="2" spans="1:7">
      <c r="A2" t="s">
        <v>68</v>
      </c>
      <c r="B2" t="s">
        <v>22</v>
      </c>
      <c r="C2" t="s">
        <v>101</v>
      </c>
      <c r="D2" t="s">
        <v>13</v>
      </c>
      <c r="E2" t="s">
        <v>0</v>
      </c>
      <c r="F2" t="s">
        <v>102</v>
      </c>
      <c r="G2" t="s">
        <v>103</v>
      </c>
    </row>
    <row r="3" spans="1:7">
      <c r="F3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1"/>
  <dimension ref="A1:D2"/>
  <sheetViews>
    <sheetView zoomScaleNormal="100" workbookViewId="0">
      <selection activeCell="A3" sqref="A3"/>
    </sheetView>
  </sheetViews>
  <sheetFormatPr defaultRowHeight="15"/>
  <cols>
    <col min="2" max="2" width="7.5703125" bestFit="1" customWidth="1"/>
    <col min="3" max="3" width="17.28515625" bestFit="1" customWidth="1"/>
    <col min="4" max="4" width="8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67</v>
      </c>
    </row>
    <row r="2" spans="1:4">
      <c r="A2" t="s">
        <v>68</v>
      </c>
      <c r="B2" s="1" t="s">
        <v>69</v>
      </c>
      <c r="C2" s="1" t="s">
        <v>70</v>
      </c>
      <c r="D2" s="1" t="s">
        <v>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3465E-467A-4EDF-8688-C40873857B18}">
  <dimension ref="A1:I84"/>
  <sheetViews>
    <sheetView tabSelected="1" workbookViewId="0">
      <selection sqref="A1:I84"/>
    </sheetView>
  </sheetViews>
  <sheetFormatPr defaultRowHeight="15"/>
  <sheetData>
    <row r="1" spans="1:9">
      <c r="A1" t="s">
        <v>154</v>
      </c>
    </row>
    <row r="2" spans="1:9">
      <c r="A2" t="s">
        <v>134</v>
      </c>
      <c r="B2" t="s">
        <v>155</v>
      </c>
      <c r="C2" t="s">
        <v>156</v>
      </c>
      <c r="D2" t="s">
        <v>157</v>
      </c>
      <c r="E2" t="s">
        <v>158</v>
      </c>
      <c r="F2" t="s">
        <v>159</v>
      </c>
      <c r="G2" t="s">
        <v>160</v>
      </c>
      <c r="H2" t="s">
        <v>161</v>
      </c>
      <c r="I2" t="s">
        <v>162</v>
      </c>
    </row>
    <row r="3" spans="1:9">
      <c r="A3" t="s">
        <v>23</v>
      </c>
      <c r="B3" t="s">
        <v>163</v>
      </c>
      <c r="C3" t="s">
        <v>164</v>
      </c>
      <c r="D3" t="s">
        <v>165</v>
      </c>
      <c r="E3" t="s">
        <v>166</v>
      </c>
      <c r="F3" t="s">
        <v>167</v>
      </c>
      <c r="G3" t="s">
        <v>168</v>
      </c>
      <c r="H3" t="s">
        <v>169</v>
      </c>
      <c r="I3" t="s">
        <v>166</v>
      </c>
    </row>
    <row r="4" spans="1:9">
      <c r="A4" t="s">
        <v>14</v>
      </c>
      <c r="B4" t="s">
        <v>170</v>
      </c>
      <c r="C4" t="s">
        <v>171</v>
      </c>
      <c r="D4" t="s">
        <v>172</v>
      </c>
      <c r="E4" t="s">
        <v>173</v>
      </c>
      <c r="F4" t="s">
        <v>174</v>
      </c>
      <c r="G4" t="s">
        <v>175</v>
      </c>
      <c r="H4" t="s">
        <v>176</v>
      </c>
      <c r="I4" t="s">
        <v>173</v>
      </c>
    </row>
    <row r="5" spans="1:9">
      <c r="A5" t="s">
        <v>6</v>
      </c>
      <c r="B5" t="s">
        <v>177</v>
      </c>
      <c r="C5" t="s">
        <v>178</v>
      </c>
      <c r="D5" t="s">
        <v>179</v>
      </c>
      <c r="E5" t="s">
        <v>180</v>
      </c>
      <c r="F5" t="s">
        <v>181</v>
      </c>
      <c r="G5" t="s">
        <v>182</v>
      </c>
      <c r="H5" t="s">
        <v>183</v>
      </c>
      <c r="I5" t="s">
        <v>184</v>
      </c>
    </row>
    <row r="6" spans="1:9">
      <c r="A6" t="s">
        <v>15</v>
      </c>
      <c r="B6" t="s">
        <v>185</v>
      </c>
      <c r="C6" t="s">
        <v>186</v>
      </c>
      <c r="D6" t="s">
        <v>187</v>
      </c>
      <c r="E6" t="s">
        <v>188</v>
      </c>
      <c r="F6" t="s">
        <v>189</v>
      </c>
      <c r="G6" t="s">
        <v>190</v>
      </c>
      <c r="H6" t="s">
        <v>191</v>
      </c>
      <c r="I6" t="s">
        <v>192</v>
      </c>
    </row>
    <row r="7" spans="1:9">
      <c r="A7" t="s">
        <v>7</v>
      </c>
      <c r="B7" t="s">
        <v>193</v>
      </c>
      <c r="C7" t="s">
        <v>194</v>
      </c>
      <c r="D7" t="s">
        <v>195</v>
      </c>
      <c r="E7" t="s">
        <v>196</v>
      </c>
      <c r="F7" t="s">
        <v>197</v>
      </c>
      <c r="G7" t="s">
        <v>198</v>
      </c>
      <c r="H7" t="s">
        <v>199</v>
      </c>
      <c r="I7" t="s">
        <v>196</v>
      </c>
    </row>
    <row r="8" spans="1:9">
      <c r="A8" t="s">
        <v>200</v>
      </c>
      <c r="B8" t="s">
        <v>201</v>
      </c>
      <c r="C8" t="s">
        <v>202</v>
      </c>
      <c r="D8" t="s">
        <v>203</v>
      </c>
      <c r="E8" t="s">
        <v>204</v>
      </c>
      <c r="F8" t="s">
        <v>205</v>
      </c>
      <c r="G8" t="s">
        <v>206</v>
      </c>
      <c r="H8" t="s">
        <v>207</v>
      </c>
      <c r="I8" t="s">
        <v>208</v>
      </c>
    </row>
    <row r="9" spans="1:9">
      <c r="A9" t="s">
        <v>209</v>
      </c>
      <c r="B9" t="s">
        <v>210</v>
      </c>
      <c r="C9" t="s">
        <v>211</v>
      </c>
      <c r="D9" t="s">
        <v>212</v>
      </c>
      <c r="E9" t="s">
        <v>213</v>
      </c>
      <c r="F9" t="s">
        <v>214</v>
      </c>
      <c r="G9" t="s">
        <v>215</v>
      </c>
      <c r="H9" t="s">
        <v>216</v>
      </c>
      <c r="I9" t="s">
        <v>214</v>
      </c>
    </row>
    <row r="10" spans="1:9">
      <c r="A10" t="s">
        <v>217</v>
      </c>
      <c r="B10" t="s">
        <v>218</v>
      </c>
      <c r="C10" t="s">
        <v>219</v>
      </c>
      <c r="D10" t="s">
        <v>220</v>
      </c>
      <c r="E10" t="s">
        <v>221</v>
      </c>
      <c r="F10" t="s">
        <v>222</v>
      </c>
      <c r="G10" t="s">
        <v>223</v>
      </c>
      <c r="H10" t="s">
        <v>224</v>
      </c>
      <c r="I10" t="s">
        <v>225</v>
      </c>
    </row>
    <row r="11" spans="1:9">
      <c r="A11" t="s">
        <v>226</v>
      </c>
      <c r="B11" t="s">
        <v>227</v>
      </c>
      <c r="C11" t="s">
        <v>226</v>
      </c>
      <c r="D11" t="s">
        <v>228</v>
      </c>
      <c r="E11" t="s">
        <v>229</v>
      </c>
      <c r="F11" t="s">
        <v>226</v>
      </c>
      <c r="G11" t="s">
        <v>226</v>
      </c>
      <c r="H11" t="s">
        <v>230</v>
      </c>
      <c r="I11" t="s">
        <v>226</v>
      </c>
    </row>
    <row r="12" spans="1:9">
      <c r="A12" t="s">
        <v>231</v>
      </c>
      <c r="B12" t="s">
        <v>232</v>
      </c>
      <c r="C12" t="s">
        <v>233</v>
      </c>
      <c r="D12" t="s">
        <v>234</v>
      </c>
      <c r="E12" t="s">
        <v>235</v>
      </c>
      <c r="F12" t="s">
        <v>236</v>
      </c>
      <c r="G12" t="s">
        <v>237</v>
      </c>
      <c r="H12" t="s">
        <v>238</v>
      </c>
      <c r="I12" t="s">
        <v>239</v>
      </c>
    </row>
    <row r="13" spans="1:9">
      <c r="A13" t="s">
        <v>240</v>
      </c>
      <c r="B13" t="s">
        <v>241</v>
      </c>
      <c r="C13" t="s">
        <v>242</v>
      </c>
      <c r="D13" t="s">
        <v>243</v>
      </c>
      <c r="E13" t="s">
        <v>240</v>
      </c>
      <c r="F13" t="s">
        <v>240</v>
      </c>
      <c r="G13" t="s">
        <v>244</v>
      </c>
      <c r="H13" t="s">
        <v>245</v>
      </c>
      <c r="I13" t="s">
        <v>246</v>
      </c>
    </row>
    <row r="14" spans="1:9">
      <c r="A14" t="s">
        <v>247</v>
      </c>
      <c r="B14" t="s">
        <v>248</v>
      </c>
      <c r="C14" t="s">
        <v>249</v>
      </c>
      <c r="D14" t="s">
        <v>250</v>
      </c>
      <c r="E14" t="s">
        <v>251</v>
      </c>
      <c r="F14" t="s">
        <v>252</v>
      </c>
      <c r="G14" t="s">
        <v>253</v>
      </c>
      <c r="H14" t="s">
        <v>254</v>
      </c>
      <c r="I14" t="s">
        <v>255</v>
      </c>
    </row>
    <row r="15" spans="1:9">
      <c r="A15" t="s">
        <v>256</v>
      </c>
      <c r="B15" t="s">
        <v>257</v>
      </c>
      <c r="C15" t="s">
        <v>258</v>
      </c>
      <c r="D15" t="s">
        <v>256</v>
      </c>
      <c r="E15" t="s">
        <v>256</v>
      </c>
      <c r="F15" t="s">
        <v>256</v>
      </c>
      <c r="G15" t="s">
        <v>256</v>
      </c>
      <c r="H15" t="s">
        <v>259</v>
      </c>
      <c r="I15" t="s">
        <v>260</v>
      </c>
    </row>
    <row r="16" spans="1:9">
      <c r="A16" t="s">
        <v>261</v>
      </c>
      <c r="B16" t="s">
        <v>262</v>
      </c>
      <c r="C16" t="s">
        <v>263</v>
      </c>
      <c r="D16" t="s">
        <v>264</v>
      </c>
      <c r="E16" t="s">
        <v>265</v>
      </c>
      <c r="F16" t="s">
        <v>266</v>
      </c>
      <c r="G16" t="s">
        <v>267</v>
      </c>
      <c r="H16" t="s">
        <v>268</v>
      </c>
      <c r="I16" t="s">
        <v>269</v>
      </c>
    </row>
    <row r="17" spans="1:9">
      <c r="A17" t="s">
        <v>270</v>
      </c>
      <c r="B17" t="s">
        <v>271</v>
      </c>
      <c r="C17" t="s">
        <v>272</v>
      </c>
      <c r="D17" t="s">
        <v>273</v>
      </c>
      <c r="E17" t="s">
        <v>274</v>
      </c>
      <c r="F17" t="s">
        <v>270</v>
      </c>
      <c r="G17" t="s">
        <v>275</v>
      </c>
      <c r="H17" t="s">
        <v>276</v>
      </c>
      <c r="I17" t="s">
        <v>270</v>
      </c>
    </row>
    <row r="18" spans="1:9">
      <c r="A18" t="s">
        <v>12</v>
      </c>
      <c r="B18" t="s">
        <v>277</v>
      </c>
      <c r="C18" t="s">
        <v>278</v>
      </c>
      <c r="D18" t="s">
        <v>279</v>
      </c>
      <c r="E18" t="s">
        <v>280</v>
      </c>
      <c r="F18" t="s">
        <v>281</v>
      </c>
      <c r="G18" t="s">
        <v>282</v>
      </c>
      <c r="H18" t="s">
        <v>283</v>
      </c>
      <c r="I18" t="s">
        <v>284</v>
      </c>
    </row>
    <row r="19" spans="1:9">
      <c r="A19" t="s">
        <v>285</v>
      </c>
      <c r="B19" t="s">
        <v>286</v>
      </c>
      <c r="C19" t="s">
        <v>287</v>
      </c>
      <c r="D19" t="s">
        <v>288</v>
      </c>
      <c r="E19" t="s">
        <v>289</v>
      </c>
      <c r="F19" t="s">
        <v>285</v>
      </c>
      <c r="G19" t="s">
        <v>285</v>
      </c>
      <c r="H19" t="s">
        <v>290</v>
      </c>
      <c r="I19" t="s">
        <v>285</v>
      </c>
    </row>
    <row r="20" spans="1:9">
      <c r="A20" t="s">
        <v>291</v>
      </c>
      <c r="B20" t="s">
        <v>292</v>
      </c>
      <c r="C20" t="s">
        <v>293</v>
      </c>
      <c r="D20" t="s">
        <v>294</v>
      </c>
      <c r="E20" t="s">
        <v>295</v>
      </c>
      <c r="F20" t="s">
        <v>296</v>
      </c>
      <c r="G20" t="s">
        <v>297</v>
      </c>
      <c r="H20" t="s">
        <v>298</v>
      </c>
      <c r="I20" t="s">
        <v>299</v>
      </c>
    </row>
    <row r="21" spans="1:9">
      <c r="A21" t="s">
        <v>300</v>
      </c>
      <c r="B21" t="s">
        <v>301</v>
      </c>
      <c r="C21" t="s">
        <v>302</v>
      </c>
      <c r="D21" t="s">
        <v>303</v>
      </c>
      <c r="E21" t="s">
        <v>304</v>
      </c>
      <c r="F21" t="s">
        <v>305</v>
      </c>
      <c r="G21" t="s">
        <v>306</v>
      </c>
      <c r="H21" t="s">
        <v>307</v>
      </c>
      <c r="I21" t="s">
        <v>308</v>
      </c>
    </row>
    <row r="22" spans="1:9">
      <c r="A22" t="s">
        <v>309</v>
      </c>
      <c r="B22" t="s">
        <v>310</v>
      </c>
      <c r="C22" t="s">
        <v>311</v>
      </c>
      <c r="D22" t="s">
        <v>312</v>
      </c>
      <c r="E22" t="s">
        <v>313</v>
      </c>
      <c r="F22" t="s">
        <v>314</v>
      </c>
      <c r="G22" t="s">
        <v>315</v>
      </c>
      <c r="H22" t="s">
        <v>316</v>
      </c>
      <c r="I22" t="s">
        <v>317</v>
      </c>
    </row>
    <row r="23" spans="1:9">
      <c r="A23" t="s">
        <v>318</v>
      </c>
      <c r="B23" t="s">
        <v>318</v>
      </c>
      <c r="C23" t="s">
        <v>318</v>
      </c>
      <c r="D23" t="s">
        <v>318</v>
      </c>
      <c r="E23" t="s">
        <v>318</v>
      </c>
      <c r="F23" t="s">
        <v>318</v>
      </c>
      <c r="G23" t="s">
        <v>318</v>
      </c>
      <c r="H23" t="s">
        <v>318</v>
      </c>
      <c r="I23" t="s">
        <v>318</v>
      </c>
    </row>
    <row r="24" spans="1:9">
      <c r="A24" t="s">
        <v>319</v>
      </c>
      <c r="B24" t="s">
        <v>320</v>
      </c>
      <c r="C24" t="s">
        <v>321</v>
      </c>
      <c r="D24" t="s">
        <v>322</v>
      </c>
      <c r="E24" t="s">
        <v>323</v>
      </c>
      <c r="F24" t="s">
        <v>324</v>
      </c>
      <c r="G24" t="s">
        <v>325</v>
      </c>
      <c r="H24" t="s">
        <v>326</v>
      </c>
      <c r="I24" t="s">
        <v>327</v>
      </c>
    </row>
    <row r="25" spans="1:9">
      <c r="A25" t="s">
        <v>328</v>
      </c>
      <c r="B25" t="s">
        <v>329</v>
      </c>
      <c r="C25" t="s">
        <v>330</v>
      </c>
      <c r="D25" t="s">
        <v>331</v>
      </c>
      <c r="E25" t="s">
        <v>332</v>
      </c>
      <c r="F25" t="s">
        <v>328</v>
      </c>
      <c r="G25" t="s">
        <v>333</v>
      </c>
      <c r="H25" t="s">
        <v>334</v>
      </c>
      <c r="I25" t="s">
        <v>335</v>
      </c>
    </row>
    <row r="26" spans="1:9">
      <c r="A26" t="s">
        <v>336</v>
      </c>
      <c r="B26" t="s">
        <v>337</v>
      </c>
      <c r="C26" t="s">
        <v>338</v>
      </c>
      <c r="D26" t="s">
        <v>339</v>
      </c>
      <c r="E26" t="s">
        <v>340</v>
      </c>
      <c r="F26" t="s">
        <v>341</v>
      </c>
      <c r="G26" t="s">
        <v>342</v>
      </c>
      <c r="H26" t="s">
        <v>343</v>
      </c>
      <c r="I26" t="s">
        <v>340</v>
      </c>
    </row>
    <row r="27" spans="1:9">
      <c r="A27" t="s">
        <v>344</v>
      </c>
      <c r="B27" t="s">
        <v>345</v>
      </c>
      <c r="C27" t="s">
        <v>346</v>
      </c>
      <c r="D27" t="s">
        <v>347</v>
      </c>
      <c r="E27" t="s">
        <v>348</v>
      </c>
      <c r="F27" t="s">
        <v>349</v>
      </c>
      <c r="G27" t="s">
        <v>350</v>
      </c>
      <c r="H27" t="s">
        <v>351</v>
      </c>
      <c r="I27" t="s">
        <v>352</v>
      </c>
    </row>
    <row r="28" spans="1:9">
      <c r="A28" t="s">
        <v>353</v>
      </c>
      <c r="B28" t="s">
        <v>354</v>
      </c>
      <c r="C28" t="s">
        <v>355</v>
      </c>
      <c r="D28" t="s">
        <v>356</v>
      </c>
      <c r="E28" t="s">
        <v>357</v>
      </c>
      <c r="F28" t="s">
        <v>358</v>
      </c>
      <c r="G28" t="s">
        <v>359</v>
      </c>
      <c r="H28" t="s">
        <v>360</v>
      </c>
      <c r="I28" t="s">
        <v>361</v>
      </c>
    </row>
    <row r="29" spans="1:9">
      <c r="A29" t="s">
        <v>10</v>
      </c>
      <c r="B29" t="s">
        <v>362</v>
      </c>
      <c r="C29" t="s">
        <v>363</v>
      </c>
      <c r="D29" t="s">
        <v>364</v>
      </c>
      <c r="E29" t="s">
        <v>365</v>
      </c>
      <c r="F29" t="s">
        <v>366</v>
      </c>
      <c r="G29" t="s">
        <v>367</v>
      </c>
      <c r="H29" t="s">
        <v>368</v>
      </c>
      <c r="I29" t="s">
        <v>369</v>
      </c>
    </row>
    <row r="30" spans="1:9">
      <c r="A30" t="s">
        <v>92</v>
      </c>
      <c r="B30" t="s">
        <v>370</v>
      </c>
      <c r="C30" t="s">
        <v>371</v>
      </c>
      <c r="D30" t="s">
        <v>372</v>
      </c>
      <c r="E30" t="s">
        <v>373</v>
      </c>
      <c r="F30" t="s">
        <v>374</v>
      </c>
      <c r="G30" t="s">
        <v>375</v>
      </c>
      <c r="H30" t="s">
        <v>376</v>
      </c>
      <c r="I30" t="s">
        <v>377</v>
      </c>
    </row>
    <row r="31" spans="1:9">
      <c r="A31" t="s">
        <v>378</v>
      </c>
      <c r="B31" t="s">
        <v>379</v>
      </c>
      <c r="C31" t="s">
        <v>378</v>
      </c>
      <c r="D31" t="s">
        <v>380</v>
      </c>
      <c r="E31" t="s">
        <v>381</v>
      </c>
      <c r="F31" t="s">
        <v>378</v>
      </c>
      <c r="G31" t="s">
        <v>382</v>
      </c>
      <c r="H31" t="s">
        <v>383</v>
      </c>
      <c r="I31" t="s">
        <v>378</v>
      </c>
    </row>
    <row r="32" spans="1:9">
      <c r="A32" t="s">
        <v>3</v>
      </c>
      <c r="B32" t="s">
        <v>384</v>
      </c>
      <c r="C32" t="s">
        <v>385</v>
      </c>
      <c r="D32" t="s">
        <v>386</v>
      </c>
      <c r="E32" t="s">
        <v>387</v>
      </c>
      <c r="F32" t="s">
        <v>3</v>
      </c>
      <c r="G32" t="s">
        <v>3</v>
      </c>
      <c r="H32" t="s">
        <v>388</v>
      </c>
      <c r="I32" t="s">
        <v>389</v>
      </c>
    </row>
    <row r="33" spans="1:9">
      <c r="A33" t="s">
        <v>5</v>
      </c>
      <c r="B33" t="s">
        <v>390</v>
      </c>
      <c r="C33" t="s">
        <v>391</v>
      </c>
      <c r="D33" t="s">
        <v>392</v>
      </c>
      <c r="E33" t="s">
        <v>5</v>
      </c>
      <c r="F33" t="s">
        <v>393</v>
      </c>
      <c r="G33" t="s">
        <v>394</v>
      </c>
      <c r="H33" t="s">
        <v>395</v>
      </c>
      <c r="I33" t="s">
        <v>396</v>
      </c>
    </row>
    <row r="34" spans="1:9">
      <c r="A34" t="s">
        <v>397</v>
      </c>
      <c r="B34" t="s">
        <v>398</v>
      </c>
      <c r="C34" t="s">
        <v>399</v>
      </c>
      <c r="D34" t="s">
        <v>400</v>
      </c>
      <c r="E34" t="s">
        <v>397</v>
      </c>
      <c r="F34" t="s">
        <v>401</v>
      </c>
      <c r="G34" t="s">
        <v>402</v>
      </c>
      <c r="H34" t="s">
        <v>403</v>
      </c>
      <c r="I34" t="s">
        <v>404</v>
      </c>
    </row>
    <row r="35" spans="1:9">
      <c r="A35" t="s">
        <v>405</v>
      </c>
      <c r="B35" t="s">
        <v>406</v>
      </c>
      <c r="C35" t="s">
        <v>407</v>
      </c>
      <c r="D35" t="s">
        <v>408</v>
      </c>
      <c r="E35" t="s">
        <v>409</v>
      </c>
      <c r="F35" t="s">
        <v>410</v>
      </c>
      <c r="G35" t="s">
        <v>411</v>
      </c>
      <c r="H35" t="s">
        <v>412</v>
      </c>
      <c r="I35" t="s">
        <v>413</v>
      </c>
    </row>
    <row r="36" spans="1:9">
      <c r="A36" t="s">
        <v>414</v>
      </c>
      <c r="B36" t="s">
        <v>415</v>
      </c>
      <c r="C36" t="s">
        <v>416</v>
      </c>
      <c r="D36" t="s">
        <v>417</v>
      </c>
      <c r="E36" t="s">
        <v>418</v>
      </c>
      <c r="F36" t="s">
        <v>419</v>
      </c>
      <c r="G36" t="s">
        <v>420</v>
      </c>
      <c r="H36" t="s">
        <v>421</v>
      </c>
      <c r="I36" t="s">
        <v>422</v>
      </c>
    </row>
    <row r="37" spans="1:9">
      <c r="A37" t="s">
        <v>423</v>
      </c>
      <c r="B37" t="s">
        <v>424</v>
      </c>
      <c r="C37" t="s">
        <v>425</v>
      </c>
      <c r="D37" t="s">
        <v>426</v>
      </c>
      <c r="E37" t="s">
        <v>427</v>
      </c>
      <c r="F37" t="s">
        <v>428</v>
      </c>
      <c r="G37" t="s">
        <v>429</v>
      </c>
      <c r="H37" t="s">
        <v>430</v>
      </c>
      <c r="I37" t="s">
        <v>427</v>
      </c>
    </row>
    <row r="38" spans="1:9">
      <c r="A38" t="s">
        <v>431</v>
      </c>
      <c r="B38" t="s">
        <v>432</v>
      </c>
      <c r="C38" t="s">
        <v>433</v>
      </c>
      <c r="D38" t="s">
        <v>434</v>
      </c>
      <c r="E38" t="s">
        <v>435</v>
      </c>
      <c r="F38" t="s">
        <v>436</v>
      </c>
      <c r="G38" t="s">
        <v>437</v>
      </c>
      <c r="H38" t="s">
        <v>438</v>
      </c>
      <c r="I38" t="s">
        <v>439</v>
      </c>
    </row>
    <row r="39" spans="1:9">
      <c r="A39" t="s">
        <v>440</v>
      </c>
      <c r="B39" t="s">
        <v>441</v>
      </c>
      <c r="C39" t="s">
        <v>442</v>
      </c>
      <c r="D39" t="s">
        <v>443</v>
      </c>
      <c r="E39" t="s">
        <v>444</v>
      </c>
      <c r="F39" t="s">
        <v>445</v>
      </c>
      <c r="G39" t="s">
        <v>446</v>
      </c>
      <c r="H39" t="s">
        <v>447</v>
      </c>
      <c r="I39" t="s">
        <v>448</v>
      </c>
    </row>
    <row r="40" spans="1:9">
      <c r="A40" t="s">
        <v>449</v>
      </c>
      <c r="B40" t="s">
        <v>450</v>
      </c>
      <c r="C40" t="s">
        <v>451</v>
      </c>
      <c r="D40" t="s">
        <v>452</v>
      </c>
      <c r="E40" t="s">
        <v>453</v>
      </c>
      <c r="F40" t="s">
        <v>454</v>
      </c>
      <c r="G40" t="s">
        <v>455</v>
      </c>
      <c r="H40" t="s">
        <v>456</v>
      </c>
      <c r="I40" t="s">
        <v>457</v>
      </c>
    </row>
    <row r="41" spans="1:9">
      <c r="A41" t="s">
        <v>458</v>
      </c>
      <c r="B41" t="s">
        <v>459</v>
      </c>
      <c r="C41" t="s">
        <v>460</v>
      </c>
      <c r="D41" t="s">
        <v>461</v>
      </c>
      <c r="E41" t="s">
        <v>462</v>
      </c>
      <c r="F41" t="s">
        <v>463</v>
      </c>
      <c r="G41" t="s">
        <v>464</v>
      </c>
      <c r="H41" t="s">
        <v>465</v>
      </c>
      <c r="I41" t="s">
        <v>466</v>
      </c>
    </row>
    <row r="42" spans="1:9">
      <c r="A42" t="s">
        <v>467</v>
      </c>
      <c r="B42" t="s">
        <v>468</v>
      </c>
      <c r="C42" t="s">
        <v>469</v>
      </c>
      <c r="D42" t="s">
        <v>470</v>
      </c>
      <c r="E42" t="s">
        <v>471</v>
      </c>
      <c r="F42" t="s">
        <v>472</v>
      </c>
      <c r="G42" t="s">
        <v>473</v>
      </c>
      <c r="H42" t="s">
        <v>474</v>
      </c>
      <c r="I42" t="s">
        <v>475</v>
      </c>
    </row>
    <row r="43" spans="1:9">
      <c r="A43" t="s">
        <v>476</v>
      </c>
      <c r="B43" t="s">
        <v>477</v>
      </c>
      <c r="C43" t="s">
        <v>478</v>
      </c>
      <c r="D43" t="s">
        <v>479</v>
      </c>
      <c r="E43" t="s">
        <v>480</v>
      </c>
      <c r="F43" t="s">
        <v>481</v>
      </c>
      <c r="G43" t="s">
        <v>482</v>
      </c>
      <c r="H43" t="s">
        <v>483</v>
      </c>
      <c r="I43" t="s">
        <v>484</v>
      </c>
    </row>
    <row r="44" spans="1:9">
      <c r="A44" t="s">
        <v>485</v>
      </c>
      <c r="B44" t="s">
        <v>486</v>
      </c>
      <c r="C44" t="s">
        <v>487</v>
      </c>
      <c r="D44" t="s">
        <v>488</v>
      </c>
      <c r="E44" t="s">
        <v>489</v>
      </c>
      <c r="F44" t="s">
        <v>490</v>
      </c>
      <c r="G44" t="s">
        <v>491</v>
      </c>
      <c r="H44" t="s">
        <v>492</v>
      </c>
      <c r="I44" t="s">
        <v>493</v>
      </c>
    </row>
    <row r="45" spans="1:9">
      <c r="A45" t="s">
        <v>494</v>
      </c>
      <c r="B45" t="s">
        <v>495</v>
      </c>
      <c r="C45" t="s">
        <v>496</v>
      </c>
      <c r="D45" t="s">
        <v>497</v>
      </c>
      <c r="E45" t="s">
        <v>498</v>
      </c>
      <c r="F45" t="s">
        <v>499</v>
      </c>
      <c r="G45" t="s">
        <v>500</v>
      </c>
      <c r="H45" t="s">
        <v>501</v>
      </c>
      <c r="I45" t="s">
        <v>502</v>
      </c>
    </row>
    <row r="46" spans="1:9">
      <c r="A46" t="s">
        <v>503</v>
      </c>
      <c r="B46" t="s">
        <v>504</v>
      </c>
      <c r="C46" t="s">
        <v>505</v>
      </c>
      <c r="D46" t="s">
        <v>506</v>
      </c>
      <c r="E46" t="s">
        <v>507</v>
      </c>
      <c r="F46" t="s">
        <v>508</v>
      </c>
      <c r="G46" t="s">
        <v>509</v>
      </c>
      <c r="H46" t="s">
        <v>510</v>
      </c>
      <c r="I46" t="s">
        <v>511</v>
      </c>
    </row>
    <row r="47" spans="1:9">
      <c r="A47" t="s">
        <v>512</v>
      </c>
      <c r="B47" t="s">
        <v>513</v>
      </c>
      <c r="C47" t="s">
        <v>478</v>
      </c>
      <c r="D47" t="s">
        <v>479</v>
      </c>
      <c r="E47" t="s">
        <v>514</v>
      </c>
      <c r="F47" t="s">
        <v>481</v>
      </c>
      <c r="G47" t="s">
        <v>515</v>
      </c>
      <c r="H47" t="s">
        <v>483</v>
      </c>
      <c r="I47" t="s">
        <v>516</v>
      </c>
    </row>
    <row r="48" spans="1:9">
      <c r="A48" t="s">
        <v>517</v>
      </c>
      <c r="B48" t="s">
        <v>518</v>
      </c>
      <c r="C48" t="s">
        <v>519</v>
      </c>
      <c r="D48" t="s">
        <v>520</v>
      </c>
      <c r="E48" t="s">
        <v>521</v>
      </c>
      <c r="F48" t="s">
        <v>522</v>
      </c>
      <c r="G48" t="s">
        <v>523</v>
      </c>
      <c r="H48" t="s">
        <v>524</v>
      </c>
      <c r="I48" t="s">
        <v>525</v>
      </c>
    </row>
    <row r="49" spans="1:9">
      <c r="A49" t="s">
        <v>526</v>
      </c>
      <c r="B49" t="s">
        <v>527</v>
      </c>
      <c r="C49" t="s">
        <v>528</v>
      </c>
      <c r="D49" t="s">
        <v>529</v>
      </c>
      <c r="E49" t="s">
        <v>530</v>
      </c>
      <c r="F49" t="s">
        <v>531</v>
      </c>
      <c r="G49" t="s">
        <v>532</v>
      </c>
      <c r="H49" t="s">
        <v>533</v>
      </c>
      <c r="I49" t="s">
        <v>534</v>
      </c>
    </row>
    <row r="50" spans="1:9">
      <c r="A50" t="s">
        <v>535</v>
      </c>
      <c r="B50" t="s">
        <v>536</v>
      </c>
      <c r="C50" t="s">
        <v>537</v>
      </c>
      <c r="D50" t="s">
        <v>538</v>
      </c>
      <c r="E50" t="s">
        <v>539</v>
      </c>
      <c r="F50" t="s">
        <v>540</v>
      </c>
      <c r="G50" t="s">
        <v>541</v>
      </c>
      <c r="H50" t="s">
        <v>542</v>
      </c>
      <c r="I50" t="s">
        <v>543</v>
      </c>
    </row>
    <row r="51" spans="1:9">
      <c r="A51" t="s">
        <v>544</v>
      </c>
      <c r="B51" t="s">
        <v>545</v>
      </c>
      <c r="C51" t="s">
        <v>546</v>
      </c>
      <c r="D51" t="s">
        <v>547</v>
      </c>
      <c r="E51" t="s">
        <v>196</v>
      </c>
      <c r="F51" t="s">
        <v>548</v>
      </c>
      <c r="G51" t="s">
        <v>549</v>
      </c>
      <c r="H51" t="s">
        <v>550</v>
      </c>
      <c r="I51" t="s">
        <v>551</v>
      </c>
    </row>
    <row r="52" spans="1:9">
      <c r="A52" t="s">
        <v>552</v>
      </c>
      <c r="B52" t="s">
        <v>553</v>
      </c>
      <c r="C52" t="s">
        <v>554</v>
      </c>
      <c r="D52" t="s">
        <v>555</v>
      </c>
      <c r="E52" t="s">
        <v>556</v>
      </c>
      <c r="F52" t="s">
        <v>557</v>
      </c>
      <c r="G52" t="s">
        <v>558</v>
      </c>
      <c r="H52" t="s">
        <v>559</v>
      </c>
      <c r="I52" t="s">
        <v>560</v>
      </c>
    </row>
    <row r="53" spans="1:9">
      <c r="A53" t="s">
        <v>561</v>
      </c>
      <c r="B53" t="s">
        <v>562</v>
      </c>
      <c r="C53" t="s">
        <v>563</v>
      </c>
      <c r="D53" t="s">
        <v>564</v>
      </c>
      <c r="E53" t="s">
        <v>565</v>
      </c>
      <c r="F53" t="s">
        <v>561</v>
      </c>
      <c r="G53" t="s">
        <v>561</v>
      </c>
      <c r="H53" t="s">
        <v>566</v>
      </c>
      <c r="I53" t="s">
        <v>567</v>
      </c>
    </row>
    <row r="54" spans="1:9">
      <c r="A54" t="s">
        <v>568</v>
      </c>
      <c r="B54" t="s">
        <v>569</v>
      </c>
      <c r="C54" t="s">
        <v>570</v>
      </c>
      <c r="D54" t="s">
        <v>571</v>
      </c>
      <c r="E54" t="s">
        <v>572</v>
      </c>
      <c r="F54" t="s">
        <v>573</v>
      </c>
      <c r="G54" t="s">
        <v>574</v>
      </c>
      <c r="H54" t="s">
        <v>575</v>
      </c>
      <c r="I54" t="s">
        <v>576</v>
      </c>
    </row>
    <row r="55" spans="1:9">
      <c r="A55" t="s">
        <v>577</v>
      </c>
      <c r="B55" t="s">
        <v>578</v>
      </c>
      <c r="C55" t="s">
        <v>579</v>
      </c>
      <c r="D55" t="s">
        <v>580</v>
      </c>
      <c r="E55" t="s">
        <v>581</v>
      </c>
      <c r="F55" t="s">
        <v>577</v>
      </c>
      <c r="G55" t="s">
        <v>577</v>
      </c>
      <c r="H55" t="s">
        <v>582</v>
      </c>
      <c r="I55" t="s">
        <v>577</v>
      </c>
    </row>
    <row r="56" spans="1:9">
      <c r="A56" t="s">
        <v>583</v>
      </c>
      <c r="B56" t="s">
        <v>584</v>
      </c>
      <c r="C56" t="s">
        <v>585</v>
      </c>
      <c r="D56" t="s">
        <v>586</v>
      </c>
      <c r="E56" t="s">
        <v>587</v>
      </c>
      <c r="F56" t="s">
        <v>588</v>
      </c>
      <c r="G56" t="s">
        <v>589</v>
      </c>
      <c r="H56" t="s">
        <v>590</v>
      </c>
      <c r="I56" t="s">
        <v>591</v>
      </c>
    </row>
    <row r="57" spans="1:9">
      <c r="A57" t="s">
        <v>592</v>
      </c>
      <c r="B57" t="s">
        <v>593</v>
      </c>
      <c r="C57" t="s">
        <v>594</v>
      </c>
      <c r="D57" t="s">
        <v>595</v>
      </c>
      <c r="E57" t="s">
        <v>596</v>
      </c>
      <c r="F57" t="s">
        <v>597</v>
      </c>
      <c r="G57" t="s">
        <v>598</v>
      </c>
      <c r="H57" t="s">
        <v>599</v>
      </c>
      <c r="I57" t="s">
        <v>600</v>
      </c>
    </row>
    <row r="58" spans="1:9">
      <c r="A58" t="s">
        <v>601</v>
      </c>
      <c r="B58" t="s">
        <v>163</v>
      </c>
      <c r="C58" t="s">
        <v>164</v>
      </c>
      <c r="D58" t="s">
        <v>165</v>
      </c>
      <c r="E58" t="s">
        <v>166</v>
      </c>
      <c r="F58" t="s">
        <v>602</v>
      </c>
      <c r="G58" t="s">
        <v>168</v>
      </c>
      <c r="H58" t="s">
        <v>169</v>
      </c>
      <c r="I58" t="s">
        <v>166</v>
      </c>
    </row>
    <row r="59" spans="1:9">
      <c r="A59" t="s">
        <v>603</v>
      </c>
      <c r="B59" t="s">
        <v>604</v>
      </c>
      <c r="C59" t="s">
        <v>605</v>
      </c>
      <c r="D59" t="s">
        <v>606</v>
      </c>
      <c r="E59" t="s">
        <v>607</v>
      </c>
      <c r="F59" t="s">
        <v>608</v>
      </c>
      <c r="G59" t="s">
        <v>609</v>
      </c>
      <c r="H59" t="s">
        <v>610</v>
      </c>
      <c r="I59" t="s">
        <v>611</v>
      </c>
    </row>
    <row r="60" spans="1:9">
      <c r="A60" t="s">
        <v>612</v>
      </c>
      <c r="B60" t="s">
        <v>613</v>
      </c>
      <c r="C60" t="s">
        <v>612</v>
      </c>
      <c r="D60" t="s">
        <v>614</v>
      </c>
      <c r="E60" t="s">
        <v>615</v>
      </c>
      <c r="F60" t="s">
        <v>612</v>
      </c>
      <c r="G60" t="s">
        <v>612</v>
      </c>
      <c r="H60" t="s">
        <v>612</v>
      </c>
      <c r="I60" t="s">
        <v>612</v>
      </c>
    </row>
    <row r="61" spans="1:9">
      <c r="A61" t="s">
        <v>616</v>
      </c>
      <c r="B61" t="s">
        <v>617</v>
      </c>
      <c r="C61" t="s">
        <v>618</v>
      </c>
      <c r="D61" t="s">
        <v>619</v>
      </c>
      <c r="E61" t="s">
        <v>620</v>
      </c>
      <c r="F61" t="s">
        <v>621</v>
      </c>
      <c r="G61" t="s">
        <v>622</v>
      </c>
      <c r="H61" t="s">
        <v>623</v>
      </c>
      <c r="I61" t="s">
        <v>624</v>
      </c>
    </row>
    <row r="62" spans="1:9">
      <c r="A62" t="s">
        <v>625</v>
      </c>
      <c r="B62" t="s">
        <v>626</v>
      </c>
      <c r="C62" t="s">
        <v>627</v>
      </c>
      <c r="D62" t="s">
        <v>628</v>
      </c>
      <c r="E62" t="s">
        <v>629</v>
      </c>
      <c r="F62" t="s">
        <v>625</v>
      </c>
      <c r="G62" t="s">
        <v>625</v>
      </c>
      <c r="H62" t="s">
        <v>630</v>
      </c>
      <c r="I62" t="s">
        <v>631</v>
      </c>
    </row>
    <row r="63" spans="1:9">
      <c r="A63" t="s">
        <v>632</v>
      </c>
      <c r="B63" t="s">
        <v>633</v>
      </c>
      <c r="C63" t="s">
        <v>632</v>
      </c>
      <c r="D63" t="s">
        <v>634</v>
      </c>
      <c r="E63" t="s">
        <v>635</v>
      </c>
      <c r="F63" t="s">
        <v>632</v>
      </c>
      <c r="G63" t="s">
        <v>632</v>
      </c>
      <c r="H63" t="s">
        <v>636</v>
      </c>
      <c r="I63" t="s">
        <v>632</v>
      </c>
    </row>
    <row r="64" spans="1:9">
      <c r="A64" t="s">
        <v>637</v>
      </c>
      <c r="B64" t="s">
        <v>638</v>
      </c>
      <c r="C64" t="s">
        <v>639</v>
      </c>
      <c r="D64" t="s">
        <v>637</v>
      </c>
      <c r="E64" t="s">
        <v>640</v>
      </c>
      <c r="F64" t="s">
        <v>637</v>
      </c>
      <c r="G64" t="s">
        <v>637</v>
      </c>
      <c r="H64" t="s">
        <v>641</v>
      </c>
      <c r="I64" t="s">
        <v>637</v>
      </c>
    </row>
    <row r="65" spans="1:9">
      <c r="A65" t="s">
        <v>642</v>
      </c>
      <c r="B65" t="s">
        <v>643</v>
      </c>
      <c r="C65" t="s">
        <v>644</v>
      </c>
      <c r="D65" t="s">
        <v>645</v>
      </c>
      <c r="E65" t="s">
        <v>646</v>
      </c>
      <c r="F65" t="s">
        <v>647</v>
      </c>
      <c r="G65" t="s">
        <v>648</v>
      </c>
      <c r="H65" t="s">
        <v>649</v>
      </c>
      <c r="I65" t="s">
        <v>646</v>
      </c>
    </row>
    <row r="66" spans="1:9">
      <c r="A66" t="s">
        <v>650</v>
      </c>
      <c r="B66" t="s">
        <v>651</v>
      </c>
      <c r="C66" t="s">
        <v>652</v>
      </c>
      <c r="D66" t="s">
        <v>653</v>
      </c>
      <c r="E66" t="s">
        <v>654</v>
      </c>
      <c r="F66" t="s">
        <v>655</v>
      </c>
      <c r="G66" t="s">
        <v>656</v>
      </c>
      <c r="H66" t="s">
        <v>657</v>
      </c>
      <c r="I66" t="s">
        <v>658</v>
      </c>
    </row>
    <row r="67" spans="1:9">
      <c r="A67" t="s">
        <v>659</v>
      </c>
      <c r="B67" t="s">
        <v>660</v>
      </c>
      <c r="C67" t="s">
        <v>661</v>
      </c>
      <c r="D67" t="s">
        <v>662</v>
      </c>
      <c r="E67" t="s">
        <v>663</v>
      </c>
      <c r="F67" t="s">
        <v>664</v>
      </c>
      <c r="G67" t="s">
        <v>665</v>
      </c>
      <c r="H67" t="s">
        <v>666</v>
      </c>
      <c r="I67" t="s">
        <v>667</v>
      </c>
    </row>
    <row r="68" spans="1:9">
      <c r="A68" t="s">
        <v>668</v>
      </c>
      <c r="B68" t="s">
        <v>669</v>
      </c>
      <c r="C68" t="s">
        <v>670</v>
      </c>
      <c r="D68" t="s">
        <v>671</v>
      </c>
      <c r="E68" t="s">
        <v>672</v>
      </c>
      <c r="F68" t="s">
        <v>673</v>
      </c>
      <c r="G68" t="s">
        <v>674</v>
      </c>
      <c r="H68" t="s">
        <v>675</v>
      </c>
      <c r="I68" t="s">
        <v>676</v>
      </c>
    </row>
    <row r="69" spans="1:9">
      <c r="A69" t="s">
        <v>677</v>
      </c>
      <c r="B69" t="s">
        <v>678</v>
      </c>
      <c r="C69" t="s">
        <v>679</v>
      </c>
      <c r="D69" t="s">
        <v>680</v>
      </c>
      <c r="E69" t="s">
        <v>681</v>
      </c>
      <c r="F69" t="s">
        <v>677</v>
      </c>
      <c r="G69" t="s">
        <v>682</v>
      </c>
      <c r="H69" t="s">
        <v>683</v>
      </c>
      <c r="I69" t="s">
        <v>684</v>
      </c>
    </row>
    <row r="70" spans="1:9">
      <c r="A70" t="s">
        <v>685</v>
      </c>
      <c r="B70" t="s">
        <v>686</v>
      </c>
      <c r="C70" t="s">
        <v>687</v>
      </c>
      <c r="D70" t="s">
        <v>688</v>
      </c>
      <c r="E70" t="s">
        <v>689</v>
      </c>
      <c r="F70" t="s">
        <v>690</v>
      </c>
      <c r="G70" t="s">
        <v>685</v>
      </c>
      <c r="H70" t="s">
        <v>691</v>
      </c>
      <c r="I70" t="s">
        <v>692</v>
      </c>
    </row>
    <row r="71" spans="1:9">
      <c r="A71" t="s">
        <v>693</v>
      </c>
      <c r="B71" t="s">
        <v>694</v>
      </c>
      <c r="C71" t="s">
        <v>695</v>
      </c>
      <c r="D71" t="s">
        <v>696</v>
      </c>
      <c r="E71" t="s">
        <v>697</v>
      </c>
      <c r="F71" t="s">
        <v>698</v>
      </c>
      <c r="G71" t="s">
        <v>699</v>
      </c>
      <c r="H71" t="s">
        <v>700</v>
      </c>
      <c r="I71" t="s">
        <v>701</v>
      </c>
    </row>
    <row r="72" spans="1:9">
      <c r="A72" t="s">
        <v>702</v>
      </c>
      <c r="B72" t="s">
        <v>703</v>
      </c>
      <c r="C72" t="s">
        <v>704</v>
      </c>
      <c r="D72" t="s">
        <v>705</v>
      </c>
      <c r="E72" t="s">
        <v>706</v>
      </c>
      <c r="F72" t="s">
        <v>707</v>
      </c>
      <c r="G72" t="s">
        <v>702</v>
      </c>
      <c r="H72" t="s">
        <v>708</v>
      </c>
      <c r="I72" t="s">
        <v>709</v>
      </c>
    </row>
    <row r="73" spans="1:9">
      <c r="A73" t="s">
        <v>710</v>
      </c>
      <c r="B73" t="s">
        <v>711</v>
      </c>
      <c r="C73" t="s">
        <v>712</v>
      </c>
      <c r="D73" t="s">
        <v>713</v>
      </c>
      <c r="E73" t="s">
        <v>714</v>
      </c>
      <c r="F73" t="s">
        <v>715</v>
      </c>
      <c r="G73" t="s">
        <v>716</v>
      </c>
      <c r="H73" t="s">
        <v>717</v>
      </c>
      <c r="I73" t="s">
        <v>718</v>
      </c>
    </row>
    <row r="74" spans="1:9">
      <c r="A74" t="s">
        <v>719</v>
      </c>
      <c r="B74" t="s">
        <v>720</v>
      </c>
      <c r="C74" t="s">
        <v>721</v>
      </c>
      <c r="D74" t="s">
        <v>722</v>
      </c>
      <c r="E74" t="s">
        <v>723</v>
      </c>
      <c r="F74" t="s">
        <v>724</v>
      </c>
      <c r="G74" t="s">
        <v>725</v>
      </c>
      <c r="H74" t="s">
        <v>726</v>
      </c>
      <c r="I74" t="s">
        <v>727</v>
      </c>
    </row>
    <row r="75" spans="1:9">
      <c r="A75" t="s">
        <v>728</v>
      </c>
      <c r="B75" t="s">
        <v>729</v>
      </c>
      <c r="C75" t="s">
        <v>730</v>
      </c>
      <c r="D75" t="s">
        <v>731</v>
      </c>
      <c r="E75" t="s">
        <v>732</v>
      </c>
      <c r="F75" t="s">
        <v>733</v>
      </c>
      <c r="G75" t="s">
        <v>734</v>
      </c>
      <c r="H75" t="s">
        <v>735</v>
      </c>
      <c r="I75" t="s">
        <v>736</v>
      </c>
    </row>
    <row r="76" spans="1:9">
      <c r="A76" t="s">
        <v>737</v>
      </c>
      <c r="B76" t="s">
        <v>738</v>
      </c>
      <c r="C76" t="s">
        <v>739</v>
      </c>
      <c r="D76" t="s">
        <v>740</v>
      </c>
      <c r="E76" t="s">
        <v>741</v>
      </c>
      <c r="F76" t="s">
        <v>742</v>
      </c>
      <c r="G76" t="s">
        <v>743</v>
      </c>
      <c r="H76" t="s">
        <v>744</v>
      </c>
      <c r="I76" t="s">
        <v>745</v>
      </c>
    </row>
    <row r="77" spans="1:9">
      <c r="A77" t="s">
        <v>746</v>
      </c>
      <c r="B77" t="s">
        <v>747</v>
      </c>
      <c r="C77" t="s">
        <v>748</v>
      </c>
      <c r="D77" t="s">
        <v>749</v>
      </c>
      <c r="E77" t="s">
        <v>750</v>
      </c>
      <c r="F77" t="s">
        <v>751</v>
      </c>
      <c r="G77" t="s">
        <v>752</v>
      </c>
      <c r="H77" t="s">
        <v>753</v>
      </c>
      <c r="I77" t="s">
        <v>754</v>
      </c>
    </row>
    <row r="78" spans="1:9">
      <c r="A78" t="s">
        <v>755</v>
      </c>
      <c r="B78" t="s">
        <v>756</v>
      </c>
      <c r="C78" t="s">
        <v>757</v>
      </c>
      <c r="D78" t="s">
        <v>758</v>
      </c>
      <c r="E78" t="s">
        <v>759</v>
      </c>
      <c r="F78" t="s">
        <v>755</v>
      </c>
      <c r="G78" t="s">
        <v>760</v>
      </c>
      <c r="H78" t="s">
        <v>761</v>
      </c>
      <c r="I78" t="s">
        <v>759</v>
      </c>
    </row>
    <row r="79" spans="1:9">
      <c r="A79" t="s">
        <v>762</v>
      </c>
      <c r="B79" t="s">
        <v>763</v>
      </c>
      <c r="C79" t="s">
        <v>764</v>
      </c>
      <c r="D79" t="s">
        <v>765</v>
      </c>
      <c r="E79" t="s">
        <v>766</v>
      </c>
      <c r="F79" t="s">
        <v>767</v>
      </c>
      <c r="G79" t="s">
        <v>762</v>
      </c>
      <c r="H79" t="s">
        <v>768</v>
      </c>
      <c r="I79" t="s">
        <v>766</v>
      </c>
    </row>
    <row r="80" spans="1:9">
      <c r="A80" t="s">
        <v>769</v>
      </c>
      <c r="B80" t="s">
        <v>770</v>
      </c>
      <c r="C80" t="s">
        <v>771</v>
      </c>
      <c r="D80" t="s">
        <v>772</v>
      </c>
      <c r="E80" t="s">
        <v>773</v>
      </c>
      <c r="F80" t="s">
        <v>774</v>
      </c>
      <c r="G80" t="s">
        <v>775</v>
      </c>
      <c r="H80" t="s">
        <v>776</v>
      </c>
      <c r="I80" t="s">
        <v>777</v>
      </c>
    </row>
    <row r="81" spans="1:9">
      <c r="A81" t="s">
        <v>778</v>
      </c>
      <c r="B81" t="s">
        <v>779</v>
      </c>
      <c r="C81" t="s">
        <v>780</v>
      </c>
      <c r="D81" t="s">
        <v>781</v>
      </c>
      <c r="E81" t="s">
        <v>782</v>
      </c>
      <c r="F81" t="s">
        <v>783</v>
      </c>
      <c r="G81" t="s">
        <v>784</v>
      </c>
      <c r="H81" t="s">
        <v>785</v>
      </c>
      <c r="I81" t="s">
        <v>786</v>
      </c>
    </row>
    <row r="82" spans="1:9">
      <c r="A82" t="s">
        <v>787</v>
      </c>
      <c r="B82" t="s">
        <v>788</v>
      </c>
      <c r="C82" t="s">
        <v>789</v>
      </c>
      <c r="D82" t="s">
        <v>790</v>
      </c>
      <c r="E82" t="s">
        <v>791</v>
      </c>
      <c r="F82" t="s">
        <v>787</v>
      </c>
      <c r="G82" t="s">
        <v>792</v>
      </c>
      <c r="H82" t="s">
        <v>793</v>
      </c>
      <c r="I82" t="s">
        <v>794</v>
      </c>
    </row>
    <row r="83" spans="1:9">
      <c r="A83" t="s">
        <v>795</v>
      </c>
      <c r="B83" t="s">
        <v>796</v>
      </c>
      <c r="C83" t="s">
        <v>797</v>
      </c>
      <c r="D83" t="s">
        <v>795</v>
      </c>
      <c r="E83" t="s">
        <v>798</v>
      </c>
      <c r="F83" t="s">
        <v>795</v>
      </c>
      <c r="G83" t="s">
        <v>795</v>
      </c>
      <c r="H83" t="s">
        <v>795</v>
      </c>
      <c r="I83" t="s">
        <v>795</v>
      </c>
    </row>
    <row r="84" spans="1:9">
      <c r="A84" t="s">
        <v>799</v>
      </c>
      <c r="B84" t="s">
        <v>800</v>
      </c>
      <c r="C84" t="s">
        <v>799</v>
      </c>
      <c r="D84" t="s">
        <v>801</v>
      </c>
      <c r="E84" t="s">
        <v>802</v>
      </c>
      <c r="F84" t="s">
        <v>799</v>
      </c>
      <c r="G84" t="s">
        <v>803</v>
      </c>
      <c r="H84" t="s">
        <v>804</v>
      </c>
      <c r="I84" t="s">
        <v>799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ScenMap</vt:lpstr>
      <vt:lpstr>TS_Defs</vt:lpstr>
      <vt:lpstr>PSet_MAP</vt:lpstr>
      <vt:lpstr>varbl map</vt:lpstr>
      <vt:lpstr>CName_MAP</vt:lpstr>
      <vt:lpstr>ATS</vt:lpstr>
      <vt:lpstr>UnitConv</vt:lpstr>
      <vt:lpstr>Sheet1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DEEPAK</cp:lastModifiedBy>
  <cp:lastPrinted>2013-04-26T17:54:26Z</cp:lastPrinted>
  <dcterms:created xsi:type="dcterms:W3CDTF">2011-02-22T06:05:52Z</dcterms:created>
  <dcterms:modified xsi:type="dcterms:W3CDTF">2023-07-12T10:38:35Z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96492946147918</vt:r8>
  </property>
</Properties>
</file>