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dg256\Demo_S012_Vonline\test~~39d3f72b-dae8-4dcf-8432-02d5a80797c4~~072823_205356\"/>
    </mc:Choice>
  </mc:AlternateContent>
  <xr:revisionPtr revIDLastSave="0" documentId="13_ncr:1_{FAF02581-B1D2-4485-B6B0-0523C150B522}" xr6:coauthVersionLast="47" xr6:coauthVersionMax="47" xr10:uidLastSave="{00000000-0000-0000-0000-000000000000}"/>
  <bookViews>
    <workbookView xWindow="-120" yWindow="-120" windowWidth="29040" windowHeight="15840" firstSheet="1" activeTab="5" xr2:uid="{00000000-000D-0000-FFFF-FFFF00000000}"/>
  </bookViews>
  <sheets>
    <sheet name="ScenMap" sheetId="56" r:id="rId1"/>
    <sheet name="TS_Defs" sheetId="27" r:id="rId2"/>
    <sheet name="PSet_MAP coarse" sheetId="57" r:id="rId3"/>
    <sheet name="CSET_MAP" sheetId="66" r:id="rId4"/>
    <sheet name="CName_MAP" sheetId="58" r:id="rId5"/>
    <sheet name="varbl map" sheetId="64" r:id="rId6"/>
    <sheet name="process map" sheetId="65" r:id="rId7"/>
    <sheet name="commodity map" sheetId="67" r:id="rId8"/>
    <sheet name="ATS" sheetId="63" r:id="rId9"/>
    <sheet name="UnitConv" sheetId="59" r:id="rId10"/>
    <sheet name="Language" sheetId="68" r:id="rId11"/>
  </sheets>
  <definedNames>
    <definedName name="_xlnm._FilterDatabase" localSheetId="1" hidden="1">TS_Defs!$B$2:$P$2</definedName>
  </definedNames>
  <calcPr calcId="181029"/>
</workbook>
</file>

<file path=xl/calcChain.xml><?xml version="1.0" encoding="utf-8"?>
<calcChain xmlns="http://schemas.openxmlformats.org/spreadsheetml/2006/main">
  <c r="D12" i="67" l="1"/>
  <c r="D8" i="67"/>
  <c r="D10" i="67"/>
  <c r="J15" i="27"/>
  <c r="F6" i="66"/>
  <c r="F7" i="66" s="1"/>
  <c r="F4" i="66"/>
  <c r="F5" i="66" s="1"/>
  <c r="F3" i="66"/>
  <c r="C4" i="66"/>
  <c r="C5" i="66"/>
  <c r="C6" i="66"/>
  <c r="C7" i="66"/>
  <c r="C3" i="66"/>
  <c r="B31" i="64"/>
  <c r="B30" i="64"/>
  <c r="B29" i="64"/>
  <c r="B28" i="64"/>
  <c r="B27" i="64"/>
  <c r="B26" i="64"/>
  <c r="B25" i="64"/>
  <c r="B24" i="64"/>
  <c r="B23" i="64"/>
  <c r="B22" i="64"/>
  <c r="C6" i="56" l="1"/>
  <c r="D6" i="56" s="1"/>
  <c r="E6" i="56" s="1"/>
  <c r="H7" i="56"/>
  <c r="C7" i="56" s="1"/>
  <c r="D7" i="56" s="1"/>
  <c r="E7" i="56" s="1"/>
  <c r="H8" i="56"/>
  <c r="C8" i="56" s="1"/>
  <c r="D8" i="56" s="1"/>
  <c r="E8" i="56" s="1"/>
  <c r="H6" i="56"/>
  <c r="B8" i="56"/>
  <c r="B7" i="56"/>
  <c r="B6" i="56"/>
  <c r="N5" i="56"/>
  <c r="M5" i="56"/>
  <c r="L5" i="56"/>
  <c r="K5" i="56"/>
  <c r="I5" i="56"/>
  <c r="Q78" i="27"/>
  <c r="R78" i="27" s="1"/>
  <c r="Q77" i="27"/>
  <c r="R77" i="27" s="1"/>
  <c r="Q76" i="27"/>
  <c r="R76" i="27" s="1"/>
  <c r="Q75" i="27"/>
  <c r="R75" i="27" s="1"/>
  <c r="Q74" i="27"/>
  <c r="R74" i="27" s="1"/>
  <c r="Q73" i="27"/>
  <c r="R73" i="27" s="1"/>
  <c r="Q72" i="27"/>
  <c r="R72" i="27" s="1"/>
  <c r="Q71" i="27"/>
  <c r="R71" i="27" s="1"/>
  <c r="Q70" i="27"/>
  <c r="R70" i="27" s="1"/>
  <c r="Q69" i="27"/>
  <c r="R69" i="27" s="1"/>
  <c r="Q68" i="27"/>
  <c r="R68" i="27" s="1"/>
  <c r="Q67" i="27"/>
  <c r="R67" i="27" s="1"/>
  <c r="Q66" i="27"/>
  <c r="R66" i="27" s="1"/>
  <c r="Q65" i="27"/>
  <c r="R65" i="27" s="1"/>
  <c r="Q64" i="27"/>
  <c r="R64" i="27" s="1"/>
  <c r="Q63" i="27"/>
  <c r="R63" i="27" s="1"/>
  <c r="Q62" i="27"/>
  <c r="R62" i="27" s="1"/>
  <c r="Q61" i="27"/>
  <c r="R61" i="27" s="1"/>
  <c r="Q60" i="27"/>
  <c r="R60" i="27" s="1"/>
  <c r="Q59" i="27"/>
  <c r="R59" i="27" s="1"/>
  <c r="Q58" i="27"/>
  <c r="R58" i="27" s="1"/>
  <c r="Q57" i="27"/>
  <c r="R57" i="27" s="1"/>
  <c r="Q56" i="27"/>
  <c r="R56" i="27" s="1"/>
  <c r="Q55" i="27"/>
  <c r="R55" i="27" s="1"/>
  <c r="Q54" i="27"/>
  <c r="R54" i="27" s="1"/>
  <c r="Q53" i="27"/>
  <c r="R53" i="27" s="1"/>
  <c r="Q52" i="27"/>
  <c r="R52" i="27" s="1"/>
  <c r="Q51" i="27"/>
  <c r="R51" i="27" s="1"/>
  <c r="Q50" i="27"/>
  <c r="R50" i="27" s="1"/>
  <c r="Q49" i="27"/>
  <c r="R49" i="27" s="1"/>
  <c r="Q48" i="27"/>
  <c r="R48" i="27" s="1"/>
  <c r="Q47" i="27"/>
  <c r="R47" i="27" s="1"/>
  <c r="Q46" i="27"/>
  <c r="R46" i="27" s="1"/>
  <c r="Q45" i="27"/>
  <c r="R45" i="27" s="1"/>
  <c r="Q44" i="27"/>
  <c r="R44" i="27" s="1"/>
  <c r="Q43" i="27"/>
  <c r="R43" i="27" s="1"/>
  <c r="Q42" i="27"/>
  <c r="R42" i="27" s="1"/>
  <c r="Q41" i="27"/>
  <c r="R41" i="27" s="1"/>
  <c r="Q40" i="27"/>
  <c r="R40" i="27" s="1"/>
  <c r="Q39" i="27"/>
  <c r="R39" i="27" s="1"/>
  <c r="Q38" i="27"/>
  <c r="R38" i="27" s="1"/>
  <c r="Q37" i="27"/>
  <c r="R37" i="27" s="1"/>
  <c r="Q36" i="27"/>
  <c r="R36" i="27" s="1"/>
  <c r="Q35" i="27"/>
  <c r="R35" i="27" s="1"/>
  <c r="Q34" i="27"/>
  <c r="R34" i="27" s="1"/>
  <c r="Q33" i="27"/>
  <c r="R33" i="27" s="1"/>
  <c r="Q32" i="27"/>
  <c r="R32" i="27" s="1"/>
  <c r="Q31" i="27"/>
  <c r="R31" i="27" s="1"/>
  <c r="Q30" i="27"/>
  <c r="R30" i="27" s="1"/>
  <c r="Q29" i="27"/>
  <c r="R29" i="27" s="1"/>
  <c r="Q28" i="27"/>
  <c r="R28" i="27" s="1"/>
  <c r="Q27" i="27"/>
  <c r="R27" i="27" s="1"/>
  <c r="Q26" i="27"/>
  <c r="R26" i="27" s="1"/>
  <c r="Q25" i="27"/>
  <c r="R25" i="27" s="1"/>
  <c r="Q24" i="27"/>
  <c r="R24" i="27" s="1"/>
  <c r="Q23" i="27"/>
  <c r="R23" i="27" s="1"/>
  <c r="M24" i="27"/>
  <c r="M25" i="27"/>
  <c r="M26" i="27"/>
  <c r="M27" i="27"/>
  <c r="M28" i="27"/>
  <c r="M29" i="27"/>
  <c r="M30" i="27"/>
  <c r="M31" i="27"/>
  <c r="M32" i="27"/>
  <c r="M33" i="27"/>
  <c r="M34" i="27"/>
  <c r="M35" i="27"/>
  <c r="M36" i="27"/>
  <c r="M37" i="27"/>
  <c r="M38" i="27"/>
  <c r="M39" i="27"/>
  <c r="M40" i="27"/>
  <c r="M41" i="27"/>
  <c r="M42" i="27"/>
  <c r="M43" i="27"/>
  <c r="M44" i="27"/>
  <c r="M45" i="27"/>
  <c r="M46" i="27"/>
  <c r="M47" i="27"/>
  <c r="M48" i="27"/>
  <c r="M49" i="27"/>
  <c r="M50" i="27"/>
  <c r="M51" i="27"/>
  <c r="M52" i="27"/>
  <c r="M53" i="27"/>
  <c r="M54" i="27"/>
  <c r="M55" i="27"/>
  <c r="M56" i="27"/>
  <c r="M57" i="27"/>
  <c r="M58" i="27"/>
  <c r="M59" i="27"/>
  <c r="M60" i="27"/>
  <c r="M61" i="27"/>
  <c r="M62" i="27"/>
  <c r="M63" i="27"/>
  <c r="M64" i="27"/>
  <c r="M65" i="27"/>
  <c r="M66" i="27"/>
  <c r="M67" i="27"/>
  <c r="M68" i="27"/>
  <c r="M69" i="27"/>
  <c r="M70" i="27"/>
  <c r="M71" i="27"/>
  <c r="M72" i="27"/>
  <c r="M73" i="27"/>
  <c r="M74" i="27"/>
  <c r="M75" i="27"/>
  <c r="M76" i="27"/>
  <c r="M77" i="27"/>
  <c r="M78" i="27"/>
  <c r="M23" i="27"/>
  <c r="D59" i="59"/>
  <c r="B59" i="59"/>
  <c r="D58" i="59"/>
  <c r="B58" i="59"/>
  <c r="D57" i="59"/>
  <c r="B57" i="59"/>
  <c r="D56" i="59"/>
  <c r="B56" i="59"/>
  <c r="D55" i="59"/>
  <c r="B55" i="59"/>
  <c r="D54" i="59"/>
  <c r="B54" i="59"/>
  <c r="D53" i="59"/>
  <c r="B53" i="59"/>
  <c r="D52" i="59"/>
  <c r="B52" i="59"/>
  <c r="D51" i="59"/>
  <c r="B51" i="59"/>
  <c r="D50" i="59"/>
  <c r="B50" i="59"/>
  <c r="D49" i="59"/>
  <c r="B49" i="59"/>
  <c r="D48" i="59"/>
  <c r="B48" i="59"/>
  <c r="D47" i="59"/>
  <c r="B47" i="59"/>
  <c r="D46" i="59"/>
  <c r="B46" i="59"/>
  <c r="D45" i="59"/>
  <c r="B45" i="59"/>
  <c r="D44" i="59"/>
  <c r="B44" i="59"/>
  <c r="D43" i="59"/>
  <c r="B43" i="59"/>
  <c r="D42" i="59"/>
  <c r="B42" i="59"/>
  <c r="D41" i="59"/>
  <c r="B41" i="59"/>
  <c r="D40" i="59"/>
  <c r="B40" i="59"/>
  <c r="D39" i="59"/>
  <c r="B39" i="59"/>
  <c r="D38" i="59"/>
  <c r="B38" i="59"/>
  <c r="D37" i="59"/>
  <c r="B37" i="59"/>
  <c r="D36" i="59"/>
  <c r="B36" i="59"/>
  <c r="D35" i="59"/>
  <c r="B35" i="59"/>
  <c r="D34" i="59"/>
  <c r="B34" i="59"/>
  <c r="D33" i="59"/>
  <c r="B33" i="59"/>
  <c r="D32" i="59"/>
  <c r="B32" i="59"/>
  <c r="D31" i="59"/>
  <c r="B31" i="59"/>
  <c r="D30" i="59"/>
  <c r="B30" i="59"/>
  <c r="D29" i="59"/>
  <c r="B29" i="59"/>
  <c r="D28" i="59"/>
  <c r="B28" i="59"/>
  <c r="D27" i="59"/>
  <c r="B27" i="59"/>
  <c r="D26" i="59"/>
  <c r="B26" i="59"/>
  <c r="D25" i="59"/>
  <c r="B25" i="59"/>
  <c r="D24" i="59"/>
  <c r="B24" i="59"/>
  <c r="D23" i="59"/>
  <c r="B23" i="59"/>
  <c r="D22" i="59"/>
  <c r="B22" i="59"/>
  <c r="D21" i="59"/>
  <c r="B21" i="59"/>
  <c r="D20" i="59"/>
  <c r="B20" i="59"/>
  <c r="D19" i="59"/>
  <c r="B19" i="59"/>
  <c r="D18" i="59"/>
  <c r="B18" i="59"/>
  <c r="D17" i="59"/>
  <c r="B17" i="59"/>
  <c r="D16" i="59"/>
  <c r="B16" i="59"/>
  <c r="D15" i="59"/>
  <c r="B15" i="59"/>
  <c r="D14" i="59"/>
  <c r="B14" i="59"/>
  <c r="D13" i="59"/>
  <c r="B13" i="59"/>
  <c r="D12" i="59"/>
  <c r="B12" i="59"/>
  <c r="D11" i="59"/>
  <c r="B11" i="59"/>
  <c r="D10" i="59"/>
  <c r="B10" i="59"/>
  <c r="D9" i="59"/>
  <c r="B9" i="59"/>
  <c r="D8" i="59"/>
  <c r="B8" i="59"/>
  <c r="D7" i="59"/>
  <c r="B7" i="59"/>
  <c r="D6" i="59"/>
  <c r="B6" i="59"/>
  <c r="D5" i="59"/>
  <c r="B5" i="59"/>
  <c r="D4" i="59"/>
  <c r="B4" i="59"/>
  <c r="C20" i="57" l="1"/>
  <c r="D3" i="59"/>
  <c r="C21" i="64"/>
  <c r="E3" i="27"/>
  <c r="C9" i="64"/>
  <c r="C11" i="64"/>
  <c r="C12" i="64"/>
  <c r="C13" i="64"/>
  <c r="C8" i="64"/>
  <c r="E20" i="27" l="1"/>
  <c r="E4" i="27"/>
  <c r="E11" i="27"/>
  <c r="R15" i="27"/>
  <c r="Q15" i="27"/>
  <c r="F11" i="57"/>
  <c r="F10" i="57"/>
  <c r="F9" i="57"/>
  <c r="C18" i="57"/>
  <c r="C17" i="57"/>
  <c r="C10" i="57"/>
  <c r="C16" i="57"/>
  <c r="C15" i="57"/>
  <c r="C14" i="57"/>
  <c r="C4" i="57"/>
  <c r="C5" i="57"/>
  <c r="C6" i="57"/>
  <c r="C7" i="57"/>
  <c r="C8" i="57"/>
  <c r="C9" i="57"/>
  <c r="C11" i="57"/>
  <c r="C12" i="57"/>
  <c r="C13" i="57"/>
  <c r="C19" i="57"/>
  <c r="C3" i="57"/>
  <c r="F3" i="57"/>
  <c r="F4" i="57" s="1"/>
  <c r="F5" i="57" s="1"/>
  <c r="F6" i="57" s="1"/>
  <c r="F7" i="57" s="1"/>
  <c r="F8" i="57" s="1"/>
  <c r="E15" i="27" s="1"/>
  <c r="F12" i="57"/>
  <c r="F13" i="57" s="1"/>
  <c r="F14" i="57" s="1"/>
  <c r="F15" i="57" s="1"/>
  <c r="F16" i="57" s="1"/>
  <c r="F17" i="57" s="1"/>
  <c r="F18" i="57" s="1"/>
  <c r="F19" i="57" s="1"/>
  <c r="E19" i="27" l="1"/>
  <c r="E8" i="27"/>
  <c r="E6" i="27"/>
  <c r="E12" i="27"/>
  <c r="E10" i="27"/>
  <c r="E9" i="27"/>
  <c r="E7" i="27"/>
  <c r="E5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E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sharedStrings.xml><?xml version="1.0" encoding="utf-8"?>
<sst xmlns="http://schemas.openxmlformats.org/spreadsheetml/2006/main" count="1760" uniqueCount="978">
  <si>
    <t>Unit</t>
  </si>
  <si>
    <t>Desc</t>
  </si>
  <si>
    <t>Name</t>
  </si>
  <si>
    <t>Bio</t>
  </si>
  <si>
    <t>Coal</t>
  </si>
  <si>
    <t>Gas</t>
  </si>
  <si>
    <t>Industry</t>
  </si>
  <si>
    <t>Transport</t>
  </si>
  <si>
    <t>Hydro</t>
  </si>
  <si>
    <t>Nuclear</t>
  </si>
  <si>
    <t>Oil</t>
  </si>
  <si>
    <t>Solar</t>
  </si>
  <si>
    <t>Wind</t>
  </si>
  <si>
    <t>Nuc</t>
  </si>
  <si>
    <t>Varbl</t>
  </si>
  <si>
    <t>Commercial</t>
  </si>
  <si>
    <t>Residential</t>
  </si>
  <si>
    <t>N</t>
  </si>
  <si>
    <t>VAR_FOUT</t>
  </si>
  <si>
    <t>kt</t>
  </si>
  <si>
    <t>TS</t>
  </si>
  <si>
    <t>ELC</t>
  </si>
  <si>
    <t>VAR_CAP</t>
  </si>
  <si>
    <t>GW</t>
  </si>
  <si>
    <t>Scen</t>
  </si>
  <si>
    <t>Renewable</t>
  </si>
  <si>
    <t>Agriculture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</si>
  <si>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</si>
  <si>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</si>
  <si>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</si>
  <si>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</si>
  <si>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</si>
  <si>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</si>
  <si>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</si>
  <si>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</si>
  <si>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</si>
  <si>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</si>
  <si>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</si>
  <si>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</si>
  <si>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</si>
  <si>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</si>
  <si>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</si>
  <si>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</si>
  <si>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</si>
  <si>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</si>
  <si>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</si>
  <si>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</si>
  <si>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</si>
  <si>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</si>
  <si>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</si>
  <si>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</si>
  <si>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</si>
  <si>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</si>
  <si>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</si>
  <si>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</si>
  <si>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</si>
  <si>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</si>
  <si>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EQ_COMBALM</t>
  </si>
  <si>
    <t>Cost_INV</t>
  </si>
  <si>
    <t>ICost_&lt;Pset&gt;</t>
  </si>
  <si>
    <t>&lt;Pset&gt;.CostInv</t>
  </si>
  <si>
    <t>&lt;Pset&gt; - Annualized Investement cost</t>
  </si>
  <si>
    <t>ELEWIN</t>
  </si>
  <si>
    <t>ELEHYD</t>
  </si>
  <si>
    <t>ELENUC</t>
  </si>
  <si>
    <t>ELESOL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</si>
  <si>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</si>
  <si>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</si>
  <si>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</si>
  <si>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</si>
  <si>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</si>
  <si>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</si>
  <si>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</si>
  <si>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</si>
  <si>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</si>
  <si>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</si>
  <si>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</si>
  <si>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</si>
  <si>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ELEOIL</t>
  </si>
  <si>
    <t>EProd_&lt;Pset&gt;</t>
  </si>
  <si>
    <t>C</t>
  </si>
  <si>
    <t>S</t>
  </si>
  <si>
    <t>ELEBIO</t>
  </si>
  <si>
    <t>ELECOA</t>
  </si>
  <si>
    <t>ELEGAS</t>
  </si>
  <si>
    <t>Shale</t>
  </si>
  <si>
    <t>RECost</t>
  </si>
  <si>
    <t>Re</t>
  </si>
  <si>
    <t>Rg</t>
  </si>
  <si>
    <t>Regions</t>
  </si>
  <si>
    <t>ECap_&lt;Pset&gt;</t>
  </si>
  <si>
    <t>CO2Captured</t>
  </si>
  <si>
    <t>Emi_CO2Cap_&lt;Pset&gt;</t>
  </si>
  <si>
    <t>&lt;Pset&gt;.CO2Cap</t>
  </si>
  <si>
    <t>&lt;Pset&gt; - CO2 Emissions captured from electricity production</t>
  </si>
  <si>
    <t>Storage</t>
  </si>
  <si>
    <t>IRE</t>
  </si>
  <si>
    <t>ImpElec</t>
  </si>
  <si>
    <t>ExpElec</t>
  </si>
  <si>
    <t>Elec_Imp</t>
  </si>
  <si>
    <t>Elec_Exp</t>
  </si>
  <si>
    <t>electricity imports</t>
  </si>
  <si>
    <t>electricity exports</t>
  </si>
  <si>
    <t>~ATS</t>
  </si>
  <si>
    <t>Region</t>
  </si>
  <si>
    <t>Year</t>
  </si>
  <si>
    <t>Val</t>
  </si>
  <si>
    <t>ELCCurt</t>
  </si>
  <si>
    <t>&lt;Pset&gt; - Electricity Production curtailed</t>
  </si>
  <si>
    <t>EProd_curt_&lt;Pset&gt;</t>
  </si>
  <si>
    <t>&lt;Pset&gt;.ElecProd_curt</t>
  </si>
  <si>
    <t>SECAGR</t>
  </si>
  <si>
    <t>SECCOM</t>
  </si>
  <si>
    <t>SECELC</t>
  </si>
  <si>
    <t>Power</t>
  </si>
  <si>
    <t>SECIND</t>
  </si>
  <si>
    <t>SECRES</t>
  </si>
  <si>
    <t>SECTRA</t>
  </si>
  <si>
    <t>TRD_ENDO</t>
  </si>
  <si>
    <t>Trade</t>
  </si>
  <si>
    <t>DUMIMP</t>
  </si>
  <si>
    <t>DumImp</t>
  </si>
  <si>
    <t>ELEELC</t>
  </si>
  <si>
    <t>PJ</t>
  </si>
  <si>
    <t>MEuro05</t>
  </si>
  <si>
    <t>NRG_ELC</t>
  </si>
  <si>
    <t>NRG_GAS</t>
  </si>
  <si>
    <t>NRG_OIL</t>
  </si>
  <si>
    <t>NRG_RNW</t>
  </si>
  <si>
    <t>NRG_SOLID</t>
  </si>
  <si>
    <t>Eur/GJ</t>
  </si>
  <si>
    <t>group_by</t>
  </si>
  <si>
    <t>p</t>
  </si>
  <si>
    <t>Price_NRG</t>
  </si>
  <si>
    <t>NRG.Price</t>
  </si>
  <si>
    <t>Prices of all NRG - native TS</t>
  </si>
  <si>
    <t>ct</t>
  </si>
  <si>
    <t>IMP*Z</t>
  </si>
  <si>
    <t>DummyImp</t>
  </si>
  <si>
    <t>all dummy imports</t>
  </si>
  <si>
    <t>cp</t>
  </si>
  <si>
    <t>User_conFXM</t>
  </si>
  <si>
    <t>Eur/UCU</t>
  </si>
  <si>
    <t>UC_shadowprice</t>
  </si>
  <si>
    <t>u</t>
  </si>
  <si>
    <t>shadow prices of all Ucs</t>
  </si>
  <si>
    <t>DetEFuel_&lt;Pset&gt;</t>
  </si>
  <si>
    <t>&lt;Pset&gt;.Fuel.detailed</t>
  </si>
  <si>
    <t>VBE equivalent of elec fuel consumption</t>
  </si>
  <si>
    <t>c</t>
  </si>
  <si>
    <t>t</t>
  </si>
  <si>
    <t>process</t>
  </si>
  <si>
    <t>commodity</t>
  </si>
  <si>
    <t>timeslice</t>
  </si>
  <si>
    <t>userconstraint</t>
  </si>
  <si>
    <t>v</t>
  </si>
  <si>
    <t>vintage</t>
  </si>
  <si>
    <t>cptv</t>
  </si>
  <si>
    <t>~Varbl_map</t>
  </si>
  <si>
    <t>dimension</t>
  </si>
  <si>
    <t>name</t>
  </si>
  <si>
    <t>description</t>
  </si>
  <si>
    <t>Elec</t>
  </si>
  <si>
    <t>Rnw</t>
  </si>
  <si>
    <t>Solid</t>
  </si>
  <si>
    <t>Fuel</t>
  </si>
  <si>
    <t>Electricity</t>
  </si>
  <si>
    <t>Sector</t>
  </si>
  <si>
    <t>Power,Eprod*,*cap[_]*,-*CO2*</t>
  </si>
  <si>
    <t>VAR_COMPRD</t>
  </si>
  <si>
    <t>VAR_NCAPR</t>
  </si>
  <si>
    <t>LCOE_&lt;Pset&gt;</t>
  </si>
  <si>
    <t>&lt;Pset&gt;.LCOE</t>
  </si>
  <si>
    <t>&lt;Pset&gt; - Lev Cost</t>
  </si>
  <si>
    <t>show_me</t>
  </si>
  <si>
    <t>discard</t>
  </si>
  <si>
    <t>VAR_POUT</t>
  </si>
  <si>
    <t>PJ2GW</t>
  </si>
  <si>
    <t>Power_&lt;Pset&gt;</t>
  </si>
  <si>
    <t>&lt;Pset&gt;.Power</t>
  </si>
  <si>
    <t>&lt;Pset&gt; - Power delivered</t>
  </si>
  <si>
    <t>attribute</t>
  </si>
  <si>
    <t>EProd_</t>
  </si>
  <si>
    <t>Elec gen</t>
  </si>
  <si>
    <t>ECap_</t>
  </si>
  <si>
    <t>Elec cap</t>
  </si>
  <si>
    <t>ECost-</t>
  </si>
  <si>
    <t>Elec Costs</t>
  </si>
  <si>
    <t>EFuel_</t>
  </si>
  <si>
    <t>Elec fuels</t>
  </si>
  <si>
    <t>Emi_ElcCO2_</t>
  </si>
  <si>
    <t>Emissions</t>
  </si>
  <si>
    <t>CO2 emissions</t>
  </si>
  <si>
    <t>LCOE</t>
  </si>
  <si>
    <t>Demo</t>
  </si>
  <si>
    <t>PJ2gw</t>
  </si>
  <si>
    <t>V2G</t>
  </si>
  <si>
    <t>Power_*</t>
  </si>
  <si>
    <t>TimeSlice</t>
  </si>
  <si>
    <t>AllRegions</t>
  </si>
  <si>
    <t>G_YRFR</t>
  </si>
  <si>
    <t>FWkDD</t>
  </si>
  <si>
    <t>FWkDE</t>
  </si>
  <si>
    <t>FWkDM</t>
  </si>
  <si>
    <t>FWkDN</t>
  </si>
  <si>
    <t>FWkED</t>
  </si>
  <si>
    <t>FWkEE</t>
  </si>
  <si>
    <t>FWkEM</t>
  </si>
  <si>
    <t>FWkEN</t>
  </si>
  <si>
    <t>RWkDD</t>
  </si>
  <si>
    <t>RWkDE</t>
  </si>
  <si>
    <t>RWkDM</t>
  </si>
  <si>
    <t>RWkDN</t>
  </si>
  <si>
    <t>RWkED</t>
  </si>
  <si>
    <t>RWkEE</t>
  </si>
  <si>
    <t>RWkEM</t>
  </si>
  <si>
    <t>RWkEN</t>
  </si>
  <si>
    <t>SWkDD</t>
  </si>
  <si>
    <t>SWkDE</t>
  </si>
  <si>
    <t>SOdH00</t>
  </si>
  <si>
    <t>SOdH01</t>
  </si>
  <si>
    <t>SOdH02</t>
  </si>
  <si>
    <t>SOdH03</t>
  </si>
  <si>
    <t>SOdH04</t>
  </si>
  <si>
    <t>SOdH05</t>
  </si>
  <si>
    <t>SOdH06</t>
  </si>
  <si>
    <t>SOdH07</t>
  </si>
  <si>
    <t>SOdH08</t>
  </si>
  <si>
    <t>SOdH09</t>
  </si>
  <si>
    <t>SOdH10</t>
  </si>
  <si>
    <t>SOdH11</t>
  </si>
  <si>
    <t>SOdH12</t>
  </si>
  <si>
    <t>SOdH13</t>
  </si>
  <si>
    <t>SOdH14</t>
  </si>
  <si>
    <t>SOdH15</t>
  </si>
  <si>
    <t>SOdH16</t>
  </si>
  <si>
    <t>SOdH17</t>
  </si>
  <si>
    <t>SOdH18</t>
  </si>
  <si>
    <t>SOdH19</t>
  </si>
  <si>
    <t>SOdH20</t>
  </si>
  <si>
    <t>SOdH21</t>
  </si>
  <si>
    <t>SOdH22</t>
  </si>
  <si>
    <t>SOdH23</t>
  </si>
  <si>
    <t>SWkDM</t>
  </si>
  <si>
    <t>SWkDN</t>
  </si>
  <si>
    <t>SWkED</t>
  </si>
  <si>
    <t>SWkEE</t>
  </si>
  <si>
    <t>SWkEM</t>
  </si>
  <si>
    <t>SWkEN</t>
  </si>
  <si>
    <t>WWkDD</t>
  </si>
  <si>
    <t>WWkDE</t>
  </si>
  <si>
    <t>WWkDM</t>
  </si>
  <si>
    <t>WWkDN</t>
  </si>
  <si>
    <t>WWkED</t>
  </si>
  <si>
    <t>WWkEE</t>
  </si>
  <si>
    <t>WWkEM</t>
  </si>
  <si>
    <t>WWkEN</t>
  </si>
  <si>
    <t>FTE-*</t>
  </si>
  <si>
    <t>PowerCons</t>
  </si>
  <si>
    <t>p,t</t>
  </si>
  <si>
    <t>EVCharge</t>
  </si>
  <si>
    <t>trastg~</t>
  </si>
  <si>
    <t>Fixed</t>
  </si>
  <si>
    <t>V1G</t>
  </si>
  <si>
    <t>~ScenMap</t>
  </si>
  <si>
    <t>~ScenG</t>
  </si>
  <si>
    <t>~process_map</t>
  </si>
  <si>
    <t>pset_set</t>
  </si>
  <si>
    <t>pset_ci</t>
  </si>
  <si>
    <t>pset_co</t>
  </si>
  <si>
    <t>pset_pd</t>
  </si>
  <si>
    <t>Tech</t>
  </si>
  <si>
    <t>Elec Capacity</t>
  </si>
  <si>
    <t>Tech_p</t>
  </si>
  <si>
    <t>Sector_p</t>
  </si>
  <si>
    <t>~Cset_Map</t>
  </si>
  <si>
    <t>Cset</t>
  </si>
  <si>
    <t>FE_&lt;Pset&gt;-&lt;Cset&gt;</t>
  </si>
  <si>
    <t>~commodity_map</t>
  </si>
  <si>
    <t>cset_set</t>
  </si>
  <si>
    <t>cset_cd</t>
  </si>
  <si>
    <t>fuel_c</t>
  </si>
  <si>
    <t>fuelagg_c</t>
  </si>
  <si>
    <t>Fossil</t>
  </si>
  <si>
    <t>Sol/Win</t>
  </si>
  <si>
    <t>*SOL*,*WIN*</t>
  </si>
  <si>
    <t>*BIO*</t>
  </si>
  <si>
    <t>NRG_GAS,NRG_OIL,NRG_SOLID</t>
  </si>
  <si>
    <t>-*BIO*</t>
  </si>
  <si>
    <t>c_pos_andor</t>
  </si>
  <si>
    <t>c_set_andor</t>
  </si>
  <si>
    <t>c_neg_andor</t>
  </si>
  <si>
    <t>OR</t>
  </si>
  <si>
    <t>ldesc</t>
  </si>
  <si>
    <t>Test ELC</t>
  </si>
  <si>
    <t>Test Bio</t>
  </si>
  <si>
    <t>Test Com</t>
  </si>
  <si>
    <t>Test storage</t>
  </si>
  <si>
    <t>~Language</t>
  </si>
  <si>
    <t>JPN</t>
  </si>
  <si>
    <t>UKR</t>
  </si>
  <si>
    <t>TUR</t>
  </si>
  <si>
    <t>SPA</t>
  </si>
  <si>
    <t>HUN</t>
  </si>
  <si>
    <t>NOR</t>
  </si>
  <si>
    <t>KOR</t>
  </si>
  <si>
    <t>POR</t>
  </si>
  <si>
    <t>農業</t>
  </si>
  <si>
    <t>Сільське господарство</t>
  </si>
  <si>
    <t>Tarım</t>
  </si>
  <si>
    <t>Agricultura</t>
  </si>
  <si>
    <t>Mezőgazdaság</t>
  </si>
  <si>
    <t>Jordbruk</t>
  </si>
  <si>
    <t>농업</t>
  </si>
  <si>
    <t>商業</t>
  </si>
  <si>
    <t>Комерційний</t>
  </si>
  <si>
    <t>Reklam</t>
  </si>
  <si>
    <t>Comercial</t>
  </si>
  <si>
    <t>Kereskedelmi</t>
  </si>
  <si>
    <t>Kommersiell</t>
  </si>
  <si>
    <t>광고</t>
  </si>
  <si>
    <t>業界</t>
  </si>
  <si>
    <t>Промисловість</t>
  </si>
  <si>
    <t>Sanayi</t>
  </si>
  <si>
    <t>Industria</t>
  </si>
  <si>
    <t>Ipar</t>
  </si>
  <si>
    <t>Industri</t>
  </si>
  <si>
    <t>산업</t>
  </si>
  <si>
    <t>Indústria</t>
  </si>
  <si>
    <t>居住の</t>
  </si>
  <si>
    <t>Житлова</t>
  </si>
  <si>
    <t>yerleşim</t>
  </si>
  <si>
    <t>Residencial</t>
  </si>
  <si>
    <t>Lakó</t>
  </si>
  <si>
    <t>Bolig</t>
  </si>
  <si>
    <t>주거</t>
  </si>
  <si>
    <t>residencial</t>
  </si>
  <si>
    <t>輸送</t>
  </si>
  <si>
    <t>Транспорт</t>
  </si>
  <si>
    <t>Ulaşım</t>
  </si>
  <si>
    <t>Transporte</t>
  </si>
  <si>
    <t>Szállítás</t>
  </si>
  <si>
    <t>Transportere</t>
  </si>
  <si>
    <t>수송</t>
  </si>
  <si>
    <t>Exogenous Trade</t>
  </si>
  <si>
    <t>対外貿易</t>
  </si>
  <si>
    <t>Екзогенна торгівля</t>
  </si>
  <si>
    <t>Dış Ticaret</t>
  </si>
  <si>
    <t>Comercio exógeno</t>
  </si>
  <si>
    <t>Exogén kereskedelem</t>
  </si>
  <si>
    <t>Eksogen handel</t>
  </si>
  <si>
    <t>외생 무역</t>
  </si>
  <si>
    <t>Comércio exógeno</t>
  </si>
  <si>
    <t>Energy</t>
  </si>
  <si>
    <t>エネルギー</t>
  </si>
  <si>
    <t>Енергія</t>
  </si>
  <si>
    <t>Enerji</t>
  </si>
  <si>
    <t>Energía</t>
  </si>
  <si>
    <t>Energia</t>
  </si>
  <si>
    <t>Energi</t>
  </si>
  <si>
    <t>에너지</t>
  </si>
  <si>
    <t>Power and Heat</t>
  </si>
  <si>
    <t>電力と熱</t>
  </si>
  <si>
    <t>Потужність і тепло</t>
  </si>
  <si>
    <t>Güç ve Isı</t>
  </si>
  <si>
    <t>Energía y calor</t>
  </si>
  <si>
    <t>Erő és hő</t>
  </si>
  <si>
    <t>Kraft og varme</t>
  </si>
  <si>
    <t>힘과 열</t>
  </si>
  <si>
    <t>Energia e Calor</t>
  </si>
  <si>
    <t>AutoCHP Bio</t>
  </si>
  <si>
    <t>AutoCHP バイオ</t>
  </si>
  <si>
    <t>AutoCHP Biyografisi</t>
  </si>
  <si>
    <t>Biografía de AutoCHP</t>
  </si>
  <si>
    <t>AutoCHP 바이오</t>
  </si>
  <si>
    <t>AutoCHP Coal</t>
  </si>
  <si>
    <t>AutoCHP 石炭</t>
  </si>
  <si>
    <t>АвтоТЕЦ Вугілля</t>
  </si>
  <si>
    <t>AutoCHP Kömür</t>
  </si>
  <si>
    <t>AutoCHP Carbón</t>
  </si>
  <si>
    <t>AutoCHP szén</t>
  </si>
  <si>
    <t>AutoCHP Kull</t>
  </si>
  <si>
    <t>AutoCHP 석탄</t>
  </si>
  <si>
    <t>AutoCHP Carvão</t>
  </si>
  <si>
    <t>AutoCHP Gas</t>
  </si>
  <si>
    <t>AutoCHP ガス</t>
  </si>
  <si>
    <t>АвтоТЕЦ Газ</t>
  </si>
  <si>
    <t>OtoCHP Gazı</t>
  </si>
  <si>
    <t>AutoCHP gass</t>
  </si>
  <si>
    <t>AutoCHP 가스</t>
  </si>
  <si>
    <t>Gás AutoCHP</t>
  </si>
  <si>
    <t>AutoCHP Oil</t>
  </si>
  <si>
    <t>AutoCHP オイル</t>
  </si>
  <si>
    <t>Масло AutoCHP</t>
  </si>
  <si>
    <t>OtoCHP Yağı</t>
  </si>
  <si>
    <t>Aceite de autocogeneración</t>
  </si>
  <si>
    <t>AutoCHP olaj</t>
  </si>
  <si>
    <t>AutoCHP olje</t>
  </si>
  <si>
    <t>AutoCHP 오일</t>
  </si>
  <si>
    <t>Óleo AutoCHP</t>
  </si>
  <si>
    <t>Geoth</t>
  </si>
  <si>
    <t>ジオス</t>
  </si>
  <si>
    <t>Геот</t>
  </si>
  <si>
    <t>지오스</t>
  </si>
  <si>
    <t>geoth</t>
  </si>
  <si>
    <t>Solar utility</t>
  </si>
  <si>
    <t>太陽光発電事業</t>
  </si>
  <si>
    <t>Сонячна енергія</t>
  </si>
  <si>
    <t>Güneş programı</t>
  </si>
  <si>
    <t>Utilidad solar</t>
  </si>
  <si>
    <t>Napelemes közmű</t>
  </si>
  <si>
    <t>Solenergi verktøy</t>
  </si>
  <si>
    <t>태양열 유틸리티</t>
  </si>
  <si>
    <t>utilitário solar</t>
  </si>
  <si>
    <t>Solar Rooftop</t>
  </si>
  <si>
    <t>ソーラールーフトップ</t>
  </si>
  <si>
    <t>Сонячна дах</t>
  </si>
  <si>
    <t>Güneş Çatı</t>
  </si>
  <si>
    <t>azotea solar</t>
  </si>
  <si>
    <t>Solcelletak</t>
  </si>
  <si>
    <t>태양광 옥상</t>
  </si>
  <si>
    <t>風</t>
  </si>
  <si>
    <t>Вітер</t>
  </si>
  <si>
    <t>Rüzgâr</t>
  </si>
  <si>
    <t>Viento</t>
  </si>
  <si>
    <t>Szél</t>
  </si>
  <si>
    <t>Vind</t>
  </si>
  <si>
    <t>바람</t>
  </si>
  <si>
    <t>Vento</t>
  </si>
  <si>
    <t>Bio CHP</t>
  </si>
  <si>
    <t>バイオCHP</t>
  </si>
  <si>
    <t>БіоТЕЦ</t>
  </si>
  <si>
    <t>Biyo CHP</t>
  </si>
  <si>
    <t>cogeneración biológica</t>
  </si>
  <si>
    <t>바이오 CHP</t>
  </si>
  <si>
    <t>Coal CHP</t>
  </si>
  <si>
    <t>石炭CHP</t>
  </si>
  <si>
    <t>Вугільна ТЕЦ</t>
  </si>
  <si>
    <t>Kömür CHP'si</t>
  </si>
  <si>
    <t>cogeneración de carbón</t>
  </si>
  <si>
    <t>Szén CHP</t>
  </si>
  <si>
    <t>Kull CHP</t>
  </si>
  <si>
    <t>석탄 CHP</t>
  </si>
  <si>
    <t>cogeração de carvão</t>
  </si>
  <si>
    <t>Gas CHP</t>
  </si>
  <si>
    <t>ガスCHP</t>
  </si>
  <si>
    <t>Газова ТЕЦ</t>
  </si>
  <si>
    <t>Gaz CHP'si</t>
  </si>
  <si>
    <t>cogeneración de gas</t>
  </si>
  <si>
    <t>Gáz CHP</t>
  </si>
  <si>
    <t>Gass CHP</t>
  </si>
  <si>
    <t>가스 CHP</t>
  </si>
  <si>
    <t>Gás CHP</t>
  </si>
  <si>
    <t>Gas CHP wCCS</t>
  </si>
  <si>
    <t>ガスCHP wCCS</t>
  </si>
  <si>
    <t>Газова ТЕЦ wCCS</t>
  </si>
  <si>
    <t>Gaz CHP wCCS</t>
  </si>
  <si>
    <t>Cogeneración de gas wCCS</t>
  </si>
  <si>
    <t>Gáz CHP wCCS</t>
  </si>
  <si>
    <t>Gass CHP wCCS</t>
  </si>
  <si>
    <t>가스 CHP wCCS</t>
  </si>
  <si>
    <t>Gás CHP wCCS</t>
  </si>
  <si>
    <t>FCH2</t>
  </si>
  <si>
    <t>Large Hydro</t>
  </si>
  <si>
    <t>大型水力発電</t>
  </si>
  <si>
    <t>Велика Гідро</t>
  </si>
  <si>
    <t>Büyük Hidro</t>
  </si>
  <si>
    <t>hidroeléctrica grande</t>
  </si>
  <si>
    <t>Nagy Hydro</t>
  </si>
  <si>
    <t>Stort Hydro</t>
  </si>
  <si>
    <t>대형 하이드로</t>
  </si>
  <si>
    <t>Grande Hidro</t>
  </si>
  <si>
    <t>Small Hydro</t>
  </si>
  <si>
    <t>小型水力発電</t>
  </si>
  <si>
    <t>Мала ГЕС</t>
  </si>
  <si>
    <t>Küçük Hidro</t>
  </si>
  <si>
    <t>Pequeña hidroeléctrica</t>
  </si>
  <si>
    <t>Liten Hydro</t>
  </si>
  <si>
    <t>작은 수력</t>
  </si>
  <si>
    <t>Pequena Hidrelétrica</t>
  </si>
  <si>
    <t>Nuclear - Existing</t>
  </si>
  <si>
    <t>核 - 既存</t>
  </si>
  <si>
    <t>Ядерний - Існуючий</t>
  </si>
  <si>
    <t>Nükleer - Mevcut</t>
  </si>
  <si>
    <t>Nuclear - Existente</t>
  </si>
  <si>
    <t>Nukleáris – Meglévő</t>
  </si>
  <si>
    <t>Nukleær - Eksisterende</t>
  </si>
  <si>
    <t>원자력 - 기존</t>
  </si>
  <si>
    <t>Nuclear - New</t>
  </si>
  <si>
    <t>核 - 新しい</t>
  </si>
  <si>
    <t>Ядерний - Новий</t>
  </si>
  <si>
    <t>Nükleer - Yeni</t>
  </si>
  <si>
    <t>Nuclear - Nuevo</t>
  </si>
  <si>
    <t>Nukleáris - Új</t>
  </si>
  <si>
    <t>Nuclear - Nytt</t>
  </si>
  <si>
    <t>원자력 - 신규</t>
  </si>
  <si>
    <t>Nuclear - Novo</t>
  </si>
  <si>
    <t>Nuclear - New small</t>
  </si>
  <si>
    <t>原子力 - 新しい小型</t>
  </si>
  <si>
    <t>Ядерний - Новий малий</t>
  </si>
  <si>
    <t>Nükleer - Yeni küçük</t>
  </si>
  <si>
    <t>Nuclear - Nuevo pequeño</t>
  </si>
  <si>
    <t>Nukleáris - Új kicsi</t>
  </si>
  <si>
    <t>Nuclear - Ny liten</t>
  </si>
  <si>
    <t>핵 - 새로운 소형</t>
  </si>
  <si>
    <t>Nuclear - Novo pequeno</t>
  </si>
  <si>
    <t>油</t>
  </si>
  <si>
    <t>олія</t>
  </si>
  <si>
    <t>Yağ</t>
  </si>
  <si>
    <t>Aceite</t>
  </si>
  <si>
    <t>Olaj</t>
  </si>
  <si>
    <t>Olje</t>
  </si>
  <si>
    <t>기름</t>
  </si>
  <si>
    <t>Óleo</t>
  </si>
  <si>
    <t>保管所</t>
  </si>
  <si>
    <t>Зберігання</t>
  </si>
  <si>
    <t>Depolamak</t>
  </si>
  <si>
    <t>Almacenamiento</t>
  </si>
  <si>
    <t>Tárolás</t>
  </si>
  <si>
    <t>Oppbevaring</t>
  </si>
  <si>
    <t>저장</t>
  </si>
  <si>
    <t>Armazenar</t>
  </si>
  <si>
    <t>Coal Adv</t>
  </si>
  <si>
    <t>石炭アドバンス</t>
  </si>
  <si>
    <t>Kömür İlanı</t>
  </si>
  <si>
    <t>Carbón Avanzado</t>
  </si>
  <si>
    <t>Kull Adv</t>
  </si>
  <si>
    <t>석탄 고급</t>
  </si>
  <si>
    <t>バイオ</t>
  </si>
  <si>
    <t>біографія</t>
  </si>
  <si>
    <t>biyo</t>
  </si>
  <si>
    <t>biografía</t>
  </si>
  <si>
    <t>바이오</t>
  </si>
  <si>
    <t>biografia</t>
  </si>
  <si>
    <t>ガス</t>
  </si>
  <si>
    <t>газ</t>
  </si>
  <si>
    <t>Gaz</t>
  </si>
  <si>
    <t>Gáz</t>
  </si>
  <si>
    <t>Gass</t>
  </si>
  <si>
    <t>가스</t>
  </si>
  <si>
    <t>Gás</t>
  </si>
  <si>
    <t>Gas wCCS</t>
  </si>
  <si>
    <t>ガスwCCS</t>
  </si>
  <si>
    <t>Газ wCCS</t>
  </si>
  <si>
    <t>Gaz wCCS</t>
  </si>
  <si>
    <t>Gáz wCCS</t>
  </si>
  <si>
    <t>Gass wCCS</t>
  </si>
  <si>
    <t>가스 wCCS</t>
  </si>
  <si>
    <t>Gás wCCS</t>
  </si>
  <si>
    <t>Coal New noCCS</t>
  </si>
  <si>
    <t>石炭 新しい noCCS</t>
  </si>
  <si>
    <t>Вугілля Новий noCCS</t>
  </si>
  <si>
    <t>Kömür Yeni noCCS</t>
  </si>
  <si>
    <t>Carbón Nuevo noCCS</t>
  </si>
  <si>
    <t>Szén Új noCCS</t>
  </si>
  <si>
    <t>Kull Ny noCCS</t>
  </si>
  <si>
    <t>석탄 새로운 noCCS</t>
  </si>
  <si>
    <t>Carvão Novo noCCS</t>
  </si>
  <si>
    <t>Coal New wCCS</t>
  </si>
  <si>
    <t>石炭 新wCCS</t>
  </si>
  <si>
    <t>Вугілля Новий wCCS</t>
  </si>
  <si>
    <t>Kömür Yeni wCCS</t>
  </si>
  <si>
    <t>Carbón Nuevo wCCS</t>
  </si>
  <si>
    <t>Szén Új wCCS</t>
  </si>
  <si>
    <t>Kull Ny wCCS</t>
  </si>
  <si>
    <t>석탄 New wCCS</t>
  </si>
  <si>
    <t>Carvão Novo wCCS</t>
  </si>
  <si>
    <t>Thermal - Existing</t>
  </si>
  <si>
    <t>熱 - 既存</t>
  </si>
  <si>
    <t>Теплові - Існуючі</t>
  </si>
  <si>
    <t>Termal - Mevcut</t>
  </si>
  <si>
    <t>Térmica - Existente</t>
  </si>
  <si>
    <t>Termikus – Meglévő</t>
  </si>
  <si>
    <t>Termisk - Eksisterende</t>
  </si>
  <si>
    <t>열 - 기존</t>
  </si>
  <si>
    <t>Coal-fired heat plants</t>
  </si>
  <si>
    <t>石炭火力発電所</t>
  </si>
  <si>
    <t>Вугільні ТЕЦ</t>
  </si>
  <si>
    <t>Kömürle çalışan ısı santralleri</t>
  </si>
  <si>
    <t>Centrales térmicas de carbón</t>
  </si>
  <si>
    <t>Széntüzelésű hőerőművek</t>
  </si>
  <si>
    <t>Kullfyrte varmeanlegg</t>
  </si>
  <si>
    <t>석탄 화력 발전소</t>
  </si>
  <si>
    <t>Usinas de calor a carvão</t>
  </si>
  <si>
    <t>Gas-fired heat plants</t>
  </si>
  <si>
    <t>ガス火力発電所</t>
  </si>
  <si>
    <t>Теплові установки, що працюють на газі</t>
  </si>
  <si>
    <t>Gaz yakıtlı ısı santralleri</t>
  </si>
  <si>
    <t>Plantas de calor a gas</t>
  </si>
  <si>
    <t>Gáztüzelésű hőerőművek</t>
  </si>
  <si>
    <t>Gassfyrte varmeanlegg</t>
  </si>
  <si>
    <t>가스 화력 발전소</t>
  </si>
  <si>
    <t>Usinas térmicas a gás</t>
  </si>
  <si>
    <t>Oil-fired heat plants</t>
  </si>
  <si>
    <t>石油火力発電所</t>
  </si>
  <si>
    <t>Теплові установки, що працюють на мазуті</t>
  </si>
  <si>
    <t>Akaryakıtla çalışan ısı santralleri</t>
  </si>
  <si>
    <t>Plantas de calor de gasóleo</t>
  </si>
  <si>
    <t>Olajtüzelésű hőerőművek</t>
  </si>
  <si>
    <t>Oljefyrte varmeanlegg</t>
  </si>
  <si>
    <t>석유 화력 발전소</t>
  </si>
  <si>
    <t>Usinas de calor a óleo</t>
  </si>
  <si>
    <t>Renewable and Other Heat Plants</t>
  </si>
  <si>
    <t>再生可能およびその他の熱発電所</t>
  </si>
  <si>
    <t>Відновлювані джерела енергії та інші теплові установки</t>
  </si>
  <si>
    <t>Yenilenebilir ve Diğer Isı Santralleri</t>
  </si>
  <si>
    <t>Plantas de calor renovables y otras</t>
  </si>
  <si>
    <t>Megújuló és egyéb hőerőművek</t>
  </si>
  <si>
    <t>Fornybare og andre varmeanlegg</t>
  </si>
  <si>
    <t>재생 가능 및 기타 열 발전소</t>
  </si>
  <si>
    <t>Usinas de Calor Renováveis ​​e Outras</t>
  </si>
  <si>
    <t>Appliances</t>
  </si>
  <si>
    <t>家電製品</t>
  </si>
  <si>
    <t>Побутова техніка</t>
  </si>
  <si>
    <t>ev aletleri</t>
  </si>
  <si>
    <t>Accesorios</t>
  </si>
  <si>
    <t>Készülékek</t>
  </si>
  <si>
    <t>Hvitevarer</t>
  </si>
  <si>
    <t>가전제품</t>
  </si>
  <si>
    <t>Eletrodomésticos</t>
  </si>
  <si>
    <t>Cooling</t>
  </si>
  <si>
    <t>冷却</t>
  </si>
  <si>
    <t>Охолодження</t>
  </si>
  <si>
    <t>Soğutma</t>
  </si>
  <si>
    <t>Enfriamiento</t>
  </si>
  <si>
    <t>Hűtés</t>
  </si>
  <si>
    <t>Avkjøling</t>
  </si>
  <si>
    <t>냉각</t>
  </si>
  <si>
    <t>Resfriamento</t>
  </si>
  <si>
    <t>Cooking</t>
  </si>
  <si>
    <t>料理</t>
  </si>
  <si>
    <t>Кулінарія</t>
  </si>
  <si>
    <t>Yemek pişirmek</t>
  </si>
  <si>
    <t>Cocinando</t>
  </si>
  <si>
    <t>Főzés</t>
  </si>
  <si>
    <t>Matlaging</t>
  </si>
  <si>
    <t>요리</t>
  </si>
  <si>
    <t>Culinária</t>
  </si>
  <si>
    <t>Heating</t>
  </si>
  <si>
    <t>暖房</t>
  </si>
  <si>
    <t>Опалення</t>
  </si>
  <si>
    <t>Isıtma</t>
  </si>
  <si>
    <t>Calefacción</t>
  </si>
  <si>
    <t>Fűtés</t>
  </si>
  <si>
    <t>Oppvarming</t>
  </si>
  <si>
    <t>난방</t>
  </si>
  <si>
    <t>Aquecimento</t>
  </si>
  <si>
    <t>Lighting</t>
  </si>
  <si>
    <t>点灯</t>
  </si>
  <si>
    <t>Освітлення</t>
  </si>
  <si>
    <t>Aydınlatma</t>
  </si>
  <si>
    <t>Encendiendo</t>
  </si>
  <si>
    <t>Világítás</t>
  </si>
  <si>
    <t>Belysning</t>
  </si>
  <si>
    <t>조명</t>
  </si>
  <si>
    <t>Iluminação</t>
  </si>
  <si>
    <t>Refrigeration</t>
  </si>
  <si>
    <t>冷凍</t>
  </si>
  <si>
    <t>Refrigeración</t>
  </si>
  <si>
    <t>Kjøling</t>
  </si>
  <si>
    <t>Refrigeração</t>
  </si>
  <si>
    <t>Water heat</t>
  </si>
  <si>
    <t>水熱</t>
  </si>
  <si>
    <t>Тепло води</t>
  </si>
  <si>
    <t>Su ısısı</t>
  </si>
  <si>
    <t>Calor de agua</t>
  </si>
  <si>
    <t>Víz hő</t>
  </si>
  <si>
    <t>Vannvarme</t>
  </si>
  <si>
    <t>수열</t>
  </si>
  <si>
    <t>Calor da água</t>
  </si>
  <si>
    <t>Aviation</t>
  </si>
  <si>
    <t>航空</t>
  </si>
  <si>
    <t>Авіація</t>
  </si>
  <si>
    <t>Havacılık</t>
  </si>
  <si>
    <t>Aviación</t>
  </si>
  <si>
    <t>Repülés</t>
  </si>
  <si>
    <t>Luftfart</t>
  </si>
  <si>
    <t>비행</t>
  </si>
  <si>
    <t>Aviação</t>
  </si>
  <si>
    <t>Cars</t>
  </si>
  <si>
    <t>車</t>
  </si>
  <si>
    <t>Автомобілі</t>
  </si>
  <si>
    <t>Arabalar</t>
  </si>
  <si>
    <t>Carros</t>
  </si>
  <si>
    <t>Autók</t>
  </si>
  <si>
    <t>Biler</t>
  </si>
  <si>
    <t>자동차</t>
  </si>
  <si>
    <t>carros</t>
  </si>
  <si>
    <t>Freight</t>
  </si>
  <si>
    <t>貨物</t>
  </si>
  <si>
    <t>Вантажні перевезення</t>
  </si>
  <si>
    <t>navlun</t>
  </si>
  <si>
    <t>Teherszállítás</t>
  </si>
  <si>
    <t>Frakt</t>
  </si>
  <si>
    <t>화물</t>
  </si>
  <si>
    <t>Frete</t>
  </si>
  <si>
    <t>Bus</t>
  </si>
  <si>
    <t>バス</t>
  </si>
  <si>
    <t>Автобус</t>
  </si>
  <si>
    <t>Otobüs</t>
  </si>
  <si>
    <t>Autobús</t>
  </si>
  <si>
    <t>Busz</t>
  </si>
  <si>
    <t>Buss</t>
  </si>
  <si>
    <t>버스</t>
  </si>
  <si>
    <t>Ônibus</t>
  </si>
  <si>
    <t>Moto</t>
  </si>
  <si>
    <t>モト</t>
  </si>
  <si>
    <t>Мото</t>
  </si>
  <si>
    <t>Motorlu</t>
  </si>
  <si>
    <t>Motos</t>
  </si>
  <si>
    <t>모토</t>
  </si>
  <si>
    <t>moto</t>
  </si>
  <si>
    <t>Ships</t>
  </si>
  <si>
    <t>船</t>
  </si>
  <si>
    <t>Кораблі</t>
  </si>
  <si>
    <t>gemiler</t>
  </si>
  <si>
    <t>Buques</t>
  </si>
  <si>
    <t>Hajók</t>
  </si>
  <si>
    <t>Skip</t>
  </si>
  <si>
    <t>배들</t>
  </si>
  <si>
    <t>navios</t>
  </si>
  <si>
    <t>Rail Frt</t>
  </si>
  <si>
    <t>レールフロント</t>
  </si>
  <si>
    <t>Залізниця Frt</t>
  </si>
  <si>
    <t>Ray Frt</t>
  </si>
  <si>
    <t>Ferrocarril delantero</t>
  </si>
  <si>
    <t>레일프런트</t>
  </si>
  <si>
    <t>Rail passenger</t>
  </si>
  <si>
    <t>鉄道乗客</t>
  </si>
  <si>
    <t>Залізничний пасажир</t>
  </si>
  <si>
    <t>Demiryolu yolcusu</t>
  </si>
  <si>
    <t>pasajero de tren</t>
  </si>
  <si>
    <t>Vasúti utas</t>
  </si>
  <si>
    <t>Togpassasjer</t>
  </si>
  <si>
    <t>철도 승객</t>
  </si>
  <si>
    <t>passageiro ferroviário</t>
  </si>
  <si>
    <t>Rail-suburb</t>
  </si>
  <si>
    <t>鉄道郊外</t>
  </si>
  <si>
    <t>Залізниця-передмістя</t>
  </si>
  <si>
    <t>Raylı banliyö</t>
  </si>
  <si>
    <t>Suburbio ferroviario</t>
  </si>
  <si>
    <t>Vasút-külváros</t>
  </si>
  <si>
    <t>Jernbane-forstad</t>
  </si>
  <si>
    <t>철도-교외</t>
  </si>
  <si>
    <t>subúrbio ferroviário</t>
  </si>
  <si>
    <t>Farming</t>
  </si>
  <si>
    <t>Mezőgazdasági</t>
  </si>
  <si>
    <t>Growing</t>
  </si>
  <si>
    <t>成長する</t>
  </si>
  <si>
    <t>Зростання</t>
  </si>
  <si>
    <t>büyüyen</t>
  </si>
  <si>
    <t>Creciente</t>
  </si>
  <si>
    <t>Növekvő</t>
  </si>
  <si>
    <t>Vokser</t>
  </si>
  <si>
    <t>성장</t>
  </si>
  <si>
    <t>Crescente</t>
  </si>
  <si>
    <t>Agr Non-En</t>
  </si>
  <si>
    <t>農農園</t>
  </si>
  <si>
    <t>Tarım Dışı</t>
  </si>
  <si>
    <t>Agr No En</t>
  </si>
  <si>
    <t>Agr other</t>
  </si>
  <si>
    <t>農業その他</t>
  </si>
  <si>
    <t>Агр інше</t>
  </si>
  <si>
    <t>diğer</t>
  </si>
  <si>
    <t>otros agrícolas</t>
  </si>
  <si>
    <t>Agr egyéb</t>
  </si>
  <si>
    <t>Agr annet</t>
  </si>
  <si>
    <t>기타</t>
  </si>
  <si>
    <t>Agr outro</t>
  </si>
  <si>
    <t>Agr Transport</t>
  </si>
  <si>
    <t>農業輸送</t>
  </si>
  <si>
    <t>Агротранспорт</t>
  </si>
  <si>
    <t>Tarım Taşımacılığı</t>
  </si>
  <si>
    <t>transporte agrícola</t>
  </si>
  <si>
    <t>농업 운송</t>
  </si>
  <si>
    <t>Agr Transportes</t>
  </si>
  <si>
    <t>Com Non-en</t>
  </si>
  <si>
    <t>コムノンエン</t>
  </si>
  <si>
    <t>tr olmayan</t>
  </si>
  <si>
    <t>Com No es</t>
  </si>
  <si>
    <t>컴논엔</t>
  </si>
  <si>
    <t>Com-Transport</t>
  </si>
  <si>
    <t>コムトランスポート</t>
  </si>
  <si>
    <t>Ком-Транспорт</t>
  </si>
  <si>
    <t>Com-Transporte</t>
  </si>
  <si>
    <t>컴-트랜스포트</t>
  </si>
  <si>
    <t>Public</t>
  </si>
  <si>
    <t>公共</t>
  </si>
  <si>
    <t>Громадський</t>
  </si>
  <si>
    <t>Halk</t>
  </si>
  <si>
    <t>Público</t>
  </si>
  <si>
    <t>Nyilvános</t>
  </si>
  <si>
    <t>Offentlig</t>
  </si>
  <si>
    <t>공공의</t>
  </si>
  <si>
    <t>Aluminum</t>
  </si>
  <si>
    <t>アルミニウム</t>
  </si>
  <si>
    <t>Алюміній</t>
  </si>
  <si>
    <t>Alüminyum</t>
  </si>
  <si>
    <t>Aluminio</t>
  </si>
  <si>
    <t>Alumínium</t>
  </si>
  <si>
    <t>Aluminium</t>
  </si>
  <si>
    <t>알류미늄</t>
  </si>
  <si>
    <t>Alumínio</t>
  </si>
  <si>
    <t>Ammonia</t>
  </si>
  <si>
    <t>アンモニア</t>
  </si>
  <si>
    <t>Аміак</t>
  </si>
  <si>
    <t>Amonyak</t>
  </si>
  <si>
    <t>Amoníaco</t>
  </si>
  <si>
    <t>Ammónia</t>
  </si>
  <si>
    <t>Ammoniakk</t>
  </si>
  <si>
    <t>암모니아</t>
  </si>
  <si>
    <t>Amônia</t>
  </si>
  <si>
    <t>Chemicals</t>
  </si>
  <si>
    <t>化学薬品</t>
  </si>
  <si>
    <t>Хімікалії</t>
  </si>
  <si>
    <t>Kimyasallar</t>
  </si>
  <si>
    <t>quimicos</t>
  </si>
  <si>
    <t>Vegyszerek</t>
  </si>
  <si>
    <t>Kjemikalier</t>
  </si>
  <si>
    <t>화학</t>
  </si>
  <si>
    <t>Produtos químicos</t>
  </si>
  <si>
    <t>Cement</t>
  </si>
  <si>
    <t>セメント</t>
  </si>
  <si>
    <t>Цемент</t>
  </si>
  <si>
    <t>Çimento</t>
  </si>
  <si>
    <t>Cemento</t>
  </si>
  <si>
    <t>Sement</t>
  </si>
  <si>
    <t>시멘트</t>
  </si>
  <si>
    <t>Cimento</t>
  </si>
  <si>
    <t>Glass</t>
  </si>
  <si>
    <t>ガラス</t>
  </si>
  <si>
    <t>скло</t>
  </si>
  <si>
    <t>Bardak</t>
  </si>
  <si>
    <t>Vaso</t>
  </si>
  <si>
    <t>Üveg</t>
  </si>
  <si>
    <t>유리</t>
  </si>
  <si>
    <t>Vidro</t>
  </si>
  <si>
    <t>Iron and Steel</t>
  </si>
  <si>
    <t>鉄鋼</t>
  </si>
  <si>
    <t>Залізо та сталь</t>
  </si>
  <si>
    <t>Demir ve çelik</t>
  </si>
  <si>
    <t>Hierro y acero</t>
  </si>
  <si>
    <t>Vas és acél</t>
  </si>
  <si>
    <t>Jern og stål</t>
  </si>
  <si>
    <t>철과 강철</t>
  </si>
  <si>
    <t>Ferro e aço</t>
  </si>
  <si>
    <t>Lime</t>
  </si>
  <si>
    <t>ライム</t>
  </si>
  <si>
    <t>Вапно</t>
  </si>
  <si>
    <t>Kireç</t>
  </si>
  <si>
    <t>Cal</t>
  </si>
  <si>
    <t>Mész</t>
  </si>
  <si>
    <t>라임</t>
  </si>
  <si>
    <t>Lima</t>
  </si>
  <si>
    <t>Non-ferrous</t>
  </si>
  <si>
    <t>非鉄</t>
  </si>
  <si>
    <t>Кольорові метали</t>
  </si>
  <si>
    <t>demir dışı</t>
  </si>
  <si>
    <t>No ferroso</t>
  </si>
  <si>
    <t>Színesfém</t>
  </si>
  <si>
    <t>Ikke-jernholdig</t>
  </si>
  <si>
    <t>비철</t>
  </si>
  <si>
    <t>não ferroso</t>
  </si>
  <si>
    <t>Non-metal</t>
  </si>
  <si>
    <t>非金属</t>
  </si>
  <si>
    <t>Неметал</t>
  </si>
  <si>
    <t>metal olmayan</t>
  </si>
  <si>
    <t>No metal</t>
  </si>
  <si>
    <t>Nem fém</t>
  </si>
  <si>
    <t>Ikke-metall</t>
  </si>
  <si>
    <t>비금속</t>
  </si>
  <si>
    <t>Metalóide</t>
  </si>
  <si>
    <t>Other ind</t>
  </si>
  <si>
    <t>その他の産業</t>
  </si>
  <si>
    <t>Інші пром</t>
  </si>
  <si>
    <t>Diğer ind</t>
  </si>
  <si>
    <t>Otra ind.</t>
  </si>
  <si>
    <t>Egyéb ind</t>
  </si>
  <si>
    <t>Andre ind</t>
  </si>
  <si>
    <t>기타산업</t>
  </si>
  <si>
    <t>outro ind</t>
  </si>
  <si>
    <t>Pulp and paper</t>
  </si>
  <si>
    <t>パルプ・紙</t>
  </si>
  <si>
    <t>Целюлоза і папір</t>
  </si>
  <si>
    <t>Kağıt hamuru ve kağıt</t>
  </si>
  <si>
    <t>Pulpo y papel</t>
  </si>
  <si>
    <t>Pép és papír</t>
  </si>
  <si>
    <t>Masse og papir</t>
  </si>
  <si>
    <t>펄프와 종이</t>
  </si>
  <si>
    <t>Polpa e papel</t>
  </si>
  <si>
    <t>Non-energy</t>
  </si>
  <si>
    <t>非エネルギー</t>
  </si>
  <si>
    <t>Неенергетичні</t>
  </si>
  <si>
    <t>enerji dışı</t>
  </si>
  <si>
    <t>no energético</t>
  </si>
  <si>
    <t>Nem energia</t>
  </si>
  <si>
    <t>Ikke-energi</t>
  </si>
  <si>
    <t>비 에너지</t>
  </si>
  <si>
    <t>Não energético</t>
  </si>
  <si>
    <t>Export</t>
  </si>
  <si>
    <t>輸出</t>
  </si>
  <si>
    <t>Експорт</t>
  </si>
  <si>
    <t>İhracat</t>
  </si>
  <si>
    <t>Exportar</t>
  </si>
  <si>
    <t>Eksport</t>
  </si>
  <si>
    <t>내보내다</t>
  </si>
  <si>
    <t>Import</t>
  </si>
  <si>
    <t>輸入</t>
  </si>
  <si>
    <t>Імпорт</t>
  </si>
  <si>
    <t>İçe aktarmak</t>
  </si>
  <si>
    <t>Importar</t>
  </si>
  <si>
    <t>Importálás</t>
  </si>
  <si>
    <t>수입</t>
  </si>
  <si>
    <t>Losses</t>
  </si>
  <si>
    <t>損失</t>
  </si>
  <si>
    <t>Втрати</t>
  </si>
  <si>
    <t>Kayıplar</t>
  </si>
  <si>
    <t>Pérdidas</t>
  </si>
  <si>
    <t>Veszteség</t>
  </si>
  <si>
    <t>Tap</t>
  </si>
  <si>
    <t>사상자 수</t>
  </si>
  <si>
    <t>Perdas</t>
  </si>
  <si>
    <t>Mining</t>
  </si>
  <si>
    <t>マイニング</t>
  </si>
  <si>
    <t>Майнінг</t>
  </si>
  <si>
    <t>madencilik</t>
  </si>
  <si>
    <t>Minería</t>
  </si>
  <si>
    <t>Bányászati</t>
  </si>
  <si>
    <t>Gruvedrift</t>
  </si>
  <si>
    <t>채광</t>
  </si>
  <si>
    <t>Mineração</t>
  </si>
  <si>
    <t>Pipeines</t>
  </si>
  <si>
    <t>ピペイン</t>
  </si>
  <si>
    <t>Трубопроводи</t>
  </si>
  <si>
    <t>boru hatları</t>
  </si>
  <si>
    <t>Pipeínas</t>
  </si>
  <si>
    <t>Rørledninger</t>
  </si>
  <si>
    <t>파이프라인</t>
  </si>
  <si>
    <t>Oleodutos</t>
  </si>
  <si>
    <t>Pri proc</t>
  </si>
  <si>
    <t>プリプロシージャ</t>
  </si>
  <si>
    <t>При проц</t>
  </si>
  <si>
    <t>proceso pri</t>
  </si>
  <si>
    <t>Sec proc</t>
  </si>
  <si>
    <t>秒手続き</t>
  </si>
  <si>
    <t>sec proc</t>
  </si>
  <si>
    <t>proceso de segundo</t>
  </si>
  <si>
    <t>Sek proc</t>
  </si>
  <si>
    <t>초 절차</t>
  </si>
  <si>
    <t>fjqBRMSZEcoJlzFdZPWIICgEQobNNW</t>
  </si>
  <si>
    <t>MGghdDRlzPTbkeBlVWEiiQOODLwHtt</t>
  </si>
  <si>
    <t>lGiSETwrvEkzNLpwrbIjPAMKhmcYns</t>
  </si>
  <si>
    <t>ZPoXxwzyxvvvpqUUVOcuPUemPTyJJZ</t>
  </si>
  <si>
    <t>WBmYHoLGnflpaArxbPmXObNALIDUjH</t>
  </si>
  <si>
    <t>aGEmEyPhcWwlseCTLiGEYKFSnkDFEJ</t>
  </si>
  <si>
    <t>OSNWXWcjmUirBNohnHBvgnJJdLWTVP</t>
  </si>
  <si>
    <t>CmeCAoaInxPbEazTkVyqnlGAcUFbKI</t>
  </si>
  <si>
    <t>UoyHQbgIgBVDjhqFTuaOGVubbrjXNM</t>
  </si>
  <si>
    <t>kLExzUPhXaLKwDQqnSKekvGxgVYJEi</t>
  </si>
  <si>
    <t>jSwsVZsJAfQuGqqnswiydWjzDPuoqp</t>
  </si>
  <si>
    <t>YqmzUTBTLnUnVxOHJESqSgxsMiHvLn</t>
  </si>
  <si>
    <t>XwmhJlsKMgBSWiELkYsyTisXWKyJMq</t>
  </si>
  <si>
    <t>yfSViImcVUFNofzMhmMMYrIjNfxHmZ</t>
  </si>
  <si>
    <t>fvSiZmdgjnVfDvYoOyfHdHDWxwiHkP</t>
  </si>
  <si>
    <t>NRZoxOnffERtiBunzPEbBbRFuZBjoN</t>
  </si>
  <si>
    <t>JRGYFYScUmLKcEURBQkVXNmwVKAFCb</t>
  </si>
  <si>
    <t>nByHjWsEhrdmmYGmWUFdHVQRRldJHn</t>
  </si>
  <si>
    <t>WZDxTASWtwSasXNrIpkXUIRgfQSGSc</t>
  </si>
  <si>
    <t>cTkcgMOsEzIpHhCVqUqLVtpazSrSMM</t>
  </si>
  <si>
    <t>RPSEwxyUbEGxrgiTDvroRhDYWsapNn</t>
  </si>
  <si>
    <t>NtMpyIDMrUbHUGuviQXlGUMHUbIyST</t>
  </si>
  <si>
    <t>iGEMwrAdgQIaMpQKbthBibTBqNFfnn</t>
  </si>
  <si>
    <t>XkdbPAWRIOOcgeqeNBDhgIwXeBazLB</t>
  </si>
  <si>
    <t>kwOnJSlYdMJKSSqQeYvPXBTOROAApr</t>
  </si>
  <si>
    <t>TOuZYaIOynOuGhLpRtzHQNWQMPdPZI</t>
  </si>
  <si>
    <t>pVmTocylzHbjPSXUeFDdNGsXLKPVfn</t>
  </si>
  <si>
    <t>ImbppPasMHXiSpwTchrQNEKiXNPceT</t>
  </si>
  <si>
    <t>rgxbcDnxJUREWvdOQLnDyNbzLOrKNS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</si>
</sst>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\o\n\th\ d\,\ yyyy"/>
    <numFmt numFmtId="165" formatCode="#.00"/>
    <numFmt numFmtId="166" formatCode="#."/>
  </numFmts>
  <fonts count="2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0"/>
      <color rgb="FF000000"/>
      <name val="Arial Unicode MS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1">
    <xf numFmtId="0" fontId="0" fillId="0" borderId="0"/>
    <xf numFmtId="164" fontId="7" fillId="0" borderId="0">
      <protection locked="0"/>
    </xf>
    <xf numFmtId="165" fontId="7" fillId="0" borderId="0">
      <protection locked="0"/>
    </xf>
    <xf numFmtId="0" fontId="16" fillId="2" borderId="0" applyNumberFormat="0" applyBorder="0" applyAlignment="0" applyProtection="0"/>
    <xf numFmtId="166" fontId="8" fillId="0" borderId="0">
      <protection locked="0"/>
    </xf>
    <xf numFmtId="166" fontId="8" fillId="0" borderId="0">
      <protection locked="0"/>
    </xf>
    <xf numFmtId="0" fontId="17" fillId="0" borderId="1" applyNumberFormat="0" applyFill="0" applyAlignment="0" applyProtection="0"/>
    <xf numFmtId="0" fontId="18" fillId="3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</cellStyleXfs>
  <cellXfs count="10">
    <xf numFmtId="0" fontId="0" fillId="0" borderId="0" xfId="0"/>
    <xf numFmtId="0" fontId="19" fillId="4" borderId="0" xfId="0" applyFont="1" applyFill="1"/>
    <xf numFmtId="0" fontId="0" fillId="0" borderId="0" xfId="0" quotePrefix="1"/>
    <xf numFmtId="0" fontId="18" fillId="3" borderId="0" xfId="7"/>
    <xf numFmtId="0" fontId="20" fillId="0" borderId="0" xfId="0" applyFont="1"/>
    <xf numFmtId="0" fontId="17" fillId="0" borderId="1" xfId="6"/>
    <xf numFmtId="0" fontId="16" fillId="2" borderId="0" xfId="3"/>
    <xf numFmtId="0" fontId="19" fillId="0" borderId="0" xfId="0" applyFont="1"/>
    <xf numFmtId="0" fontId="22" fillId="0" borderId="0" xfId="0" applyFont="1" applyAlignment="1">
      <alignment vertical="center"/>
    </xf>
    <xf numFmtId="0" fontId="21" fillId="2" borderId="0" xfId="3" applyFont="1" applyAlignment="1">
      <alignment horizontal="left"/>
    </xf>
  </cellXfs>
  <cellStyles count="21">
    <cellStyle name="Date" xfId="1" xr:uid="{00000000-0005-0000-0000-000000000000}"/>
    <cellStyle name="Fixed" xfId="2" xr:uid="{00000000-0005-0000-0000-000001000000}"/>
    <cellStyle name="Good" xfId="3" builtinId="26"/>
    <cellStyle name="Heading1" xfId="4" xr:uid="{00000000-0005-0000-0000-000003000000}"/>
    <cellStyle name="Heading2" xfId="5" xr:uid="{00000000-0005-0000-0000-000004000000}"/>
    <cellStyle name="Linked Cell" xfId="6" builtinId="24"/>
    <cellStyle name="Neutral" xfId="7" builtinId="28"/>
    <cellStyle name="Normal" xfId="0" builtinId="0"/>
    <cellStyle name="Normal 10" xfId="8" xr:uid="{00000000-0005-0000-0000-000008000000}"/>
    <cellStyle name="Normal 2" xfId="9" xr:uid="{00000000-0005-0000-0000-000009000000}"/>
    <cellStyle name="Normal 2 2" xfId="10" xr:uid="{00000000-0005-0000-0000-00000A000000}"/>
    <cellStyle name="Normal 2 3" xfId="11" xr:uid="{00000000-0005-0000-0000-00000B000000}"/>
    <cellStyle name="Normal 2 4" xfId="12" xr:uid="{00000000-0005-0000-0000-00000C000000}"/>
    <cellStyle name="Normal 2 4 2" xfId="20" xr:uid="{5BA50228-3A42-4941-B06F-1217ECD28962}"/>
    <cellStyle name="Normal 3" xfId="13" xr:uid="{00000000-0005-0000-0000-00000D000000}"/>
    <cellStyle name="Normal 3 2" xfId="14" xr:uid="{00000000-0005-0000-0000-00000E000000}"/>
    <cellStyle name="Normal 3 3" xfId="15" xr:uid="{00000000-0005-0000-0000-00000F000000}"/>
    <cellStyle name="Normal 4" xfId="16" xr:uid="{00000000-0005-0000-0000-000010000000}"/>
    <cellStyle name="Normale_Scen_UC_IND-StrucConst" xfId="17" xr:uid="{00000000-0005-0000-0000-000011000000}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O8"/>
  <sheetViews>
    <sheetView zoomScaleNormal="100" workbookViewId="0">
      <selection activeCell="F22" sqref="F22"/>
    </sheetView>
  </sheetViews>
  <sheetFormatPr defaultRowHeight="15"/>
  <cols>
    <col min="1" max="1" width="10" bestFit="1" customWidth="1"/>
    <col min="2" max="2" width="11" bestFit="1" customWidth="1"/>
    <col min="3" max="3" width="6.28515625" bestFit="1" customWidth="1"/>
    <col min="4" max="5" width="5.85546875" bestFit="1" customWidth="1"/>
    <col min="7" max="7" width="20.28515625" bestFit="1" customWidth="1"/>
    <col min="8" max="8" width="5.85546875" bestFit="1" customWidth="1"/>
    <col min="9" max="9" width="12.28515625" bestFit="1" customWidth="1"/>
    <col min="10" max="10" width="11" customWidth="1"/>
    <col min="11" max="11" width="8.7109375" bestFit="1" customWidth="1"/>
    <col min="12" max="12" width="9.85546875" bestFit="1" customWidth="1"/>
    <col min="13" max="13" width="7.28515625" bestFit="1" customWidth="1"/>
    <col min="14" max="14" width="10.85546875" bestFit="1" customWidth="1"/>
    <col min="15" max="15" width="2" bestFit="1" customWidth="1"/>
  </cols>
  <sheetData>
    <row r="1" spans="1:15">
      <c r="B1" t="s">
        <v>261</v>
      </c>
      <c r="I1" t="s">
        <v>80</v>
      </c>
      <c r="K1" t="s">
        <v>81</v>
      </c>
      <c r="L1" t="s">
        <v>87</v>
      </c>
      <c r="M1" t="s">
        <v>17</v>
      </c>
      <c r="N1" t="s">
        <v>88</v>
      </c>
    </row>
    <row r="2" spans="1:15">
      <c r="I2" t="s">
        <v>260</v>
      </c>
      <c r="K2" t="s">
        <v>85</v>
      </c>
      <c r="L2" t="s">
        <v>86</v>
      </c>
      <c r="M2" t="s">
        <v>13</v>
      </c>
      <c r="N2" t="s">
        <v>89</v>
      </c>
    </row>
    <row r="4" spans="1:15">
      <c r="A4" t="s">
        <v>264</v>
      </c>
      <c r="H4" t="s">
        <v>265</v>
      </c>
    </row>
    <row r="5" spans="1:15">
      <c r="A5" t="s">
        <v>28</v>
      </c>
      <c r="B5" t="s">
        <v>38</v>
      </c>
      <c r="C5" t="s">
        <v>2</v>
      </c>
      <c r="D5" t="s">
        <v>1</v>
      </c>
      <c r="E5" t="s">
        <v>27</v>
      </c>
      <c r="H5" t="s">
        <v>24</v>
      </c>
      <c r="I5" t="str">
        <f>"sg_"&amp;I2</f>
        <v>sg_EVCharge</v>
      </c>
      <c r="K5" t="str">
        <f>"sg_"&amp;K2</f>
        <v>sg_Shale</v>
      </c>
      <c r="L5" t="str">
        <f>"sg_"&amp;L2</f>
        <v>sg_RECost</v>
      </c>
      <c r="M5" t="str">
        <f>"sg_"&amp;M2</f>
        <v>sg_Nuc</v>
      </c>
      <c r="N5" t="str">
        <f>"sg_"&amp;N2</f>
        <v>sg_Regions</v>
      </c>
    </row>
    <row r="6" spans="1:15">
      <c r="B6" t="str">
        <f>$B$1&amp;TEXT(O6,"0000")</f>
        <v>trastg~0001</v>
      </c>
      <c r="C6" t="str">
        <f>H6</f>
        <v>Fixed</v>
      </c>
      <c r="D6" t="str">
        <f>C6</f>
        <v>Fixed</v>
      </c>
      <c r="E6" t="str">
        <f>D6</f>
        <v>Fixed</v>
      </c>
      <c r="H6" t="str">
        <f>I6</f>
        <v>Fixed</v>
      </c>
      <c r="I6" t="s">
        <v>262</v>
      </c>
      <c r="O6">
        <v>1</v>
      </c>
    </row>
    <row r="7" spans="1:15">
      <c r="B7" t="str">
        <f t="shared" ref="B7:B8" si="0">$B$1&amp;TEXT(O7,"0000")</f>
        <v>trastg~0002</v>
      </c>
      <c r="C7" t="str">
        <f t="shared" ref="C7:C8" si="1">H7</f>
        <v>V1G</v>
      </c>
      <c r="D7" t="str">
        <f t="shared" ref="D7:E7" si="2">C7</f>
        <v>V1G</v>
      </c>
      <c r="E7" t="str">
        <f t="shared" si="2"/>
        <v>V1G</v>
      </c>
      <c r="H7" t="str">
        <f t="shared" ref="H7:H8" si="3">I7</f>
        <v>V1G</v>
      </c>
      <c r="I7" t="s">
        <v>263</v>
      </c>
      <c r="O7">
        <v>2</v>
      </c>
    </row>
    <row r="8" spans="1:15">
      <c r="B8" t="str">
        <f t="shared" si="0"/>
        <v>trastg~0003</v>
      </c>
      <c r="C8" t="str">
        <f t="shared" si="1"/>
        <v>V2G</v>
      </c>
      <c r="D8" t="str">
        <f t="shared" ref="D8:E8" si="4">C8</f>
        <v>V2G</v>
      </c>
      <c r="E8" t="str">
        <f t="shared" si="4"/>
        <v>V2G</v>
      </c>
      <c r="H8" t="str">
        <f t="shared" si="3"/>
        <v>V2G</v>
      </c>
      <c r="I8" t="s">
        <v>196</v>
      </c>
      <c r="O8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W78"/>
  <sheetViews>
    <sheetView zoomScaleNormal="100" workbookViewId="0">
      <pane ySplit="2" topLeftCell="A3" activePane="bottomLeft" state="frozen"/>
      <selection pane="bottomLeft" activeCell="P15" sqref="P15"/>
    </sheetView>
  </sheetViews>
  <sheetFormatPr defaultRowHeight="15"/>
  <cols>
    <col min="2" max="2" width="8.140625" bestFit="1" customWidth="1"/>
    <col min="3" max="3" width="13.85546875" bestFit="1" customWidth="1"/>
    <col min="4" max="4" width="13.7109375" bestFit="1" customWidth="1"/>
    <col min="5" max="6" width="16.85546875" bestFit="1" customWidth="1"/>
    <col min="7" max="7" width="8.5703125" bestFit="1" customWidth="1"/>
    <col min="8" max="8" width="7.85546875" bestFit="1" customWidth="1"/>
    <col min="9" max="9" width="8.7109375" bestFit="1" customWidth="1"/>
    <col min="10" max="10" width="17.28515625" bestFit="1" customWidth="1"/>
    <col min="11" max="11" width="12.7109375" bestFit="1" customWidth="1"/>
    <col min="12" max="12" width="8.5703125" bestFit="1" customWidth="1"/>
    <col min="13" max="14" width="8.7109375" bestFit="1" customWidth="1"/>
    <col min="15" max="15" width="9.28515625" bestFit="1" customWidth="1"/>
    <col min="16" max="16" width="27" bestFit="1" customWidth="1"/>
    <col min="17" max="17" width="23.7109375" bestFit="1" customWidth="1"/>
    <col min="18" max="18" width="38.28515625" customWidth="1"/>
    <col min="19" max="19" width="9.28515625" bestFit="1" customWidth="1"/>
    <col min="20" max="20" width="7.28515625" bestFit="1" customWidth="1"/>
    <col min="21" max="21" width="11.5703125" bestFit="1" customWidth="1"/>
    <col min="22" max="22" width="2.140625" bestFit="1" customWidth="1"/>
    <col min="23" max="23" width="13.85546875" bestFit="1" customWidth="1"/>
    <col min="26" max="26" width="14.42578125" bestFit="1" customWidth="1"/>
    <col min="27" max="27" width="12.7109375" bestFit="1" customWidth="1"/>
    <col min="28" max="28" width="107.7109375" bestFit="1" customWidth="1"/>
  </cols>
  <sheetData>
    <row r="1" spans="1:23">
      <c r="A1" t="s">
        <v>39</v>
      </c>
    </row>
    <row r="2" spans="1:23">
      <c r="A2" t="s">
        <v>42</v>
      </c>
      <c r="B2" s="1" t="s">
        <v>28</v>
      </c>
      <c r="C2" s="1" t="s">
        <v>29</v>
      </c>
      <c r="D2" s="1" t="s">
        <v>40</v>
      </c>
      <c r="E2" s="1" t="s">
        <v>30</v>
      </c>
      <c r="F2" s="1" t="s">
        <v>31</v>
      </c>
      <c r="G2" s="1" t="s">
        <v>35</v>
      </c>
      <c r="H2" s="1" t="s">
        <v>36</v>
      </c>
      <c r="I2" s="1" t="s">
        <v>37</v>
      </c>
      <c r="J2" s="1" t="s">
        <v>32</v>
      </c>
      <c r="K2" s="1" t="s">
        <v>33</v>
      </c>
      <c r="L2" s="1" t="s">
        <v>34</v>
      </c>
      <c r="M2" s="1" t="s">
        <v>0</v>
      </c>
      <c r="N2" s="1" t="s">
        <v>20</v>
      </c>
      <c r="O2" s="1" t="s">
        <v>43</v>
      </c>
      <c r="P2" s="1" t="s">
        <v>2</v>
      </c>
      <c r="Q2" s="1" t="s">
        <v>1</v>
      </c>
      <c r="R2" s="1" t="s">
        <v>27</v>
      </c>
      <c r="S2" s="1" t="s">
        <v>174</v>
      </c>
      <c r="T2" s="1" t="s">
        <v>175</v>
      </c>
    </row>
    <row r="3" spans="1:23">
      <c r="C3" t="s">
        <v>22</v>
      </c>
      <c r="E3" s="4" t="str">
        <f>'PSet_MAP coarse'!$F$19</f>
        <v>ELEBIO,ELECOA,ELEELC,ELEGAS,ELEHYD,ELENUC,ELEOIL,ELESOL,ELEWIN</v>
      </c>
      <c r="M3" t="s">
        <v>23</v>
      </c>
      <c r="P3" t="s">
        <v>90</v>
      </c>
      <c r="Q3" t="s">
        <v>46</v>
      </c>
      <c r="R3" t="s">
        <v>47</v>
      </c>
    </row>
    <row r="4" spans="1:23">
      <c r="C4" t="s">
        <v>22</v>
      </c>
      <c r="E4" s="4" t="str">
        <f>E3</f>
        <v>ELEBIO,ELECOA,ELEELC,ELEGAS,ELEHYD,ELENUC,ELEOIL,ELESOL,ELEWIN</v>
      </c>
      <c r="M4" t="s">
        <v>23</v>
      </c>
      <c r="P4" t="s">
        <v>272</v>
      </c>
    </row>
    <row r="5" spans="1:23" ht="15.75" thickBot="1">
      <c r="C5" t="s">
        <v>74</v>
      </c>
      <c r="E5" s="5" t="str">
        <f t="shared" ref="E5:E10" si="0">$E$3</f>
        <v>ELEBIO,ELECOA,ELEELC,ELEGAS,ELEHYD,ELENUC,ELEOIL,ELESOL,ELEWIN</v>
      </c>
      <c r="M5" t="s">
        <v>23</v>
      </c>
      <c r="P5" t="s">
        <v>75</v>
      </c>
      <c r="Q5" t="s">
        <v>76</v>
      </c>
      <c r="R5" t="s">
        <v>77</v>
      </c>
      <c r="S5" t="s">
        <v>132</v>
      </c>
      <c r="V5" s="9" t="s">
        <v>131</v>
      </c>
      <c r="W5" s="9"/>
    </row>
    <row r="6" spans="1:23" ht="16.5" thickTop="1" thickBot="1">
      <c r="C6" t="s">
        <v>18</v>
      </c>
      <c r="E6" s="5" t="str">
        <f t="shared" si="0"/>
        <v>ELEBIO,ELECOA,ELEELC,ELEGAS,ELEHYD,ELENUC,ELEOIL,ELESOL,ELEWIN</v>
      </c>
      <c r="K6" t="s">
        <v>21</v>
      </c>
      <c r="M6" t="s">
        <v>123</v>
      </c>
      <c r="P6" t="s">
        <v>79</v>
      </c>
      <c r="Q6" t="s">
        <v>49</v>
      </c>
      <c r="R6" t="s">
        <v>48</v>
      </c>
      <c r="V6" s="6" t="s">
        <v>132</v>
      </c>
      <c r="W6" s="6" t="s">
        <v>151</v>
      </c>
    </row>
    <row r="7" spans="1:23" ht="16.5" thickTop="1" thickBot="1">
      <c r="C7" t="s">
        <v>18</v>
      </c>
      <c r="E7" s="5" t="str">
        <f t="shared" si="0"/>
        <v>ELEBIO,ELECOA,ELEELC,ELEGAS,ELEHYD,ELENUC,ELEOIL,ELESOL,ELEWIN</v>
      </c>
      <c r="K7" t="s">
        <v>107</v>
      </c>
      <c r="M7" t="s">
        <v>123</v>
      </c>
      <c r="P7" t="s">
        <v>109</v>
      </c>
      <c r="Q7" t="s">
        <v>110</v>
      </c>
      <c r="R7" t="s">
        <v>108</v>
      </c>
      <c r="V7" s="6" t="s">
        <v>149</v>
      </c>
      <c r="W7" s="6" t="s">
        <v>152</v>
      </c>
    </row>
    <row r="8" spans="1:23" ht="16.5" thickTop="1" thickBot="1">
      <c r="C8" t="s">
        <v>18</v>
      </c>
      <c r="E8" s="5" t="str">
        <f t="shared" si="0"/>
        <v>ELEBIO,ELECOA,ELEELC,ELEGAS,ELEHYD,ELENUC,ELEOIL,ELESOL,ELEWIN</v>
      </c>
      <c r="K8" t="s">
        <v>41</v>
      </c>
      <c r="M8" t="s">
        <v>19</v>
      </c>
      <c r="P8" t="s">
        <v>66</v>
      </c>
      <c r="Q8" t="s">
        <v>67</v>
      </c>
      <c r="R8" t="s">
        <v>68</v>
      </c>
      <c r="V8" s="6" t="s">
        <v>150</v>
      </c>
      <c r="W8" s="6" t="s">
        <v>153</v>
      </c>
    </row>
    <row r="9" spans="1:23" ht="16.5" thickTop="1" thickBot="1">
      <c r="C9" t="s">
        <v>18</v>
      </c>
      <c r="E9" s="5" t="str">
        <f t="shared" si="0"/>
        <v>ELEBIO,ELECOA,ELEELC,ELEGAS,ELEHYD,ELENUC,ELEOIL,ELESOL,ELEWIN</v>
      </c>
      <c r="K9" t="s">
        <v>91</v>
      </c>
      <c r="M9" t="s">
        <v>19</v>
      </c>
      <c r="P9" t="s">
        <v>92</v>
      </c>
      <c r="Q9" t="s">
        <v>93</v>
      </c>
      <c r="R9" t="s">
        <v>94</v>
      </c>
      <c r="V9" s="6" t="s">
        <v>144</v>
      </c>
      <c r="W9" s="6" t="s">
        <v>154</v>
      </c>
    </row>
    <row r="10" spans="1:23" ht="16.5" thickTop="1" thickBot="1">
      <c r="C10" t="s">
        <v>50</v>
      </c>
      <c r="E10" s="5" t="str">
        <f t="shared" si="0"/>
        <v>ELEBIO,ELECOA,ELEELC,ELEGAS,ELEHYD,ELENUC,ELEOIL,ELESOL,ELEWIN</v>
      </c>
      <c r="J10" t="s">
        <v>51</v>
      </c>
      <c r="M10" t="s">
        <v>123</v>
      </c>
      <c r="P10" t="s">
        <v>52</v>
      </c>
      <c r="Q10" t="s">
        <v>53</v>
      </c>
      <c r="R10" t="s">
        <v>54</v>
      </c>
      <c r="V10" s="6" t="s">
        <v>155</v>
      </c>
      <c r="W10" s="6" t="s">
        <v>156</v>
      </c>
    </row>
    <row r="11" spans="1:23" ht="16.5" thickTop="1" thickBot="1">
      <c r="C11" t="s">
        <v>176</v>
      </c>
      <c r="E11" s="5" t="str">
        <f>$E$3&amp;",V2G"</f>
        <v>ELEBIO,ELECOA,ELEELC,ELEGAS,ELEHYD,ELENUC,ELEOIL,ELESOL,ELEWIN,V2G</v>
      </c>
      <c r="M11" t="s">
        <v>177</v>
      </c>
      <c r="P11" t="s">
        <v>178</v>
      </c>
      <c r="Q11" t="s">
        <v>179</v>
      </c>
      <c r="R11" t="s">
        <v>180</v>
      </c>
      <c r="S11" t="s">
        <v>150</v>
      </c>
      <c r="V11" s="6"/>
      <c r="W11" s="6"/>
    </row>
    <row r="12" spans="1:23" ht="16.5" thickTop="1" thickBot="1">
      <c r="C12" t="s">
        <v>58</v>
      </c>
      <c r="E12" s="5" t="str">
        <f>$E$3</f>
        <v>ELEBIO,ELECOA,ELEELC,ELEGAS,ELEHYD,ELENUC,ELEOIL,ELESOL,ELEWIN</v>
      </c>
      <c r="M12" t="s">
        <v>124</v>
      </c>
      <c r="P12" t="s">
        <v>59</v>
      </c>
      <c r="Q12" t="s">
        <v>60</v>
      </c>
      <c r="R12" t="s">
        <v>61</v>
      </c>
    </row>
    <row r="13" spans="1:23" ht="15.75" thickTop="1">
      <c r="C13" t="s">
        <v>18</v>
      </c>
      <c r="E13" t="s">
        <v>96</v>
      </c>
      <c r="K13" t="s">
        <v>21</v>
      </c>
      <c r="M13" t="s">
        <v>123</v>
      </c>
      <c r="P13" t="s">
        <v>99</v>
      </c>
      <c r="Q13" t="s">
        <v>97</v>
      </c>
      <c r="R13" t="s">
        <v>101</v>
      </c>
    </row>
    <row r="14" spans="1:23">
      <c r="C14" t="s">
        <v>50</v>
      </c>
      <c r="E14" t="s">
        <v>96</v>
      </c>
      <c r="K14" t="s">
        <v>21</v>
      </c>
      <c r="M14" t="s">
        <v>123</v>
      </c>
      <c r="P14" t="s">
        <v>100</v>
      </c>
      <c r="Q14" t="s">
        <v>98</v>
      </c>
      <c r="R14" t="s">
        <v>102</v>
      </c>
    </row>
    <row r="15" spans="1:23">
      <c r="C15" t="s">
        <v>50</v>
      </c>
      <c r="E15" t="str">
        <f>'PSet_MAP coarse'!$F$8</f>
        <v>SECAGR,SECCOM,SECELC,SECIND,SECRES,SECTRA</v>
      </c>
      <c r="J15" t="str">
        <f>CSET_MAP!F7</f>
        <v>NRG_ELC,NRG_GAS,NRG_OIL,NRG_RNW,NRG_SOLID</v>
      </c>
      <c r="M15" t="s">
        <v>123</v>
      </c>
      <c r="P15" t="s">
        <v>277</v>
      </c>
      <c r="Q15" t="str">
        <f>MID(P15,4,20)&amp;".FE"</f>
        <v>&lt;Pset&gt;-&lt;Cset&gt;.FE</v>
      </c>
      <c r="R15" t="str">
        <f>"FE  &lt;Pset&gt; - "&amp;MID(P15,11,20)</f>
        <v>FE  &lt;Pset&gt; - &lt;Cset&gt;</v>
      </c>
    </row>
    <row r="16" spans="1:23">
      <c r="C16" s="7" t="s">
        <v>57</v>
      </c>
      <c r="D16" s="7" t="s">
        <v>169</v>
      </c>
      <c r="J16" t="s">
        <v>51</v>
      </c>
      <c r="M16" t="s">
        <v>130</v>
      </c>
      <c r="P16" t="s">
        <v>133</v>
      </c>
      <c r="Q16" t="s">
        <v>134</v>
      </c>
      <c r="R16" t="s">
        <v>135</v>
      </c>
      <c r="S16" t="s">
        <v>136</v>
      </c>
    </row>
    <row r="17" spans="3:19">
      <c r="C17" t="s">
        <v>18</v>
      </c>
      <c r="F17" t="s">
        <v>137</v>
      </c>
      <c r="M17" t="s">
        <v>123</v>
      </c>
      <c r="P17" t="s">
        <v>138</v>
      </c>
      <c r="Q17" t="s">
        <v>138</v>
      </c>
      <c r="R17" t="s">
        <v>139</v>
      </c>
      <c r="S17" t="s">
        <v>140</v>
      </c>
    </row>
    <row r="18" spans="3:19">
      <c r="C18" t="s">
        <v>141</v>
      </c>
      <c r="M18" t="s">
        <v>142</v>
      </c>
      <c r="P18" t="s">
        <v>143</v>
      </c>
      <c r="Q18" t="s">
        <v>143</v>
      </c>
      <c r="R18" t="s">
        <v>145</v>
      </c>
      <c r="S18" t="s">
        <v>144</v>
      </c>
    </row>
    <row r="19" spans="3:19" ht="15.75" thickBot="1">
      <c r="C19" t="s">
        <v>50</v>
      </c>
      <c r="E19" s="5" t="str">
        <f>$E$3</f>
        <v>ELEBIO,ELECOA,ELEELC,ELEGAS,ELEHYD,ELENUC,ELEOIL,ELESOL,ELEWIN</v>
      </c>
      <c r="J19" t="s">
        <v>51</v>
      </c>
      <c r="M19" t="s">
        <v>123</v>
      </c>
      <c r="P19" t="s">
        <v>146</v>
      </c>
      <c r="Q19" t="s">
        <v>147</v>
      </c>
      <c r="R19" t="s">
        <v>148</v>
      </c>
      <c r="S19" t="s">
        <v>157</v>
      </c>
    </row>
    <row r="20" spans="3:19" ht="16.5" thickTop="1" thickBot="1">
      <c r="C20" s="7" t="s">
        <v>170</v>
      </c>
      <c r="D20" s="7" t="s">
        <v>74</v>
      </c>
      <c r="E20" s="5" t="str">
        <f t="shared" ref="E20" si="1">$E$3</f>
        <v>ELEBIO,ELECOA,ELEELC,ELEGAS,ELEHYD,ELENUC,ELEOIL,ELESOL,ELEWIN</v>
      </c>
      <c r="M20" t="s">
        <v>130</v>
      </c>
      <c r="P20" t="s">
        <v>171</v>
      </c>
      <c r="Q20" t="s">
        <v>172</v>
      </c>
      <c r="R20" t="s">
        <v>173</v>
      </c>
      <c r="S20" t="s">
        <v>132</v>
      </c>
    </row>
    <row r="21" spans="3:19" ht="15.75" thickTop="1"/>
    <row r="23" spans="3:19">
      <c r="C23" t="s">
        <v>50</v>
      </c>
      <c r="F23" t="s">
        <v>257</v>
      </c>
      <c r="K23" t="s">
        <v>21</v>
      </c>
      <c r="M23" t="str">
        <f>N23</f>
        <v>FWkDD</v>
      </c>
      <c r="N23" t="s">
        <v>201</v>
      </c>
      <c r="P23" t="s">
        <v>258</v>
      </c>
      <c r="Q23" t="str">
        <f>P23</f>
        <v>PowerCons</v>
      </c>
      <c r="R23" t="str">
        <f>Q23</f>
        <v>PowerCons</v>
      </c>
      <c r="S23" t="s">
        <v>259</v>
      </c>
    </row>
    <row r="24" spans="3:19">
      <c r="C24" t="s">
        <v>50</v>
      </c>
      <c r="F24" t="s">
        <v>257</v>
      </c>
      <c r="K24" t="s">
        <v>21</v>
      </c>
      <c r="M24" t="str">
        <f t="shared" ref="M24:M78" si="2">N24</f>
        <v>FWkDE</v>
      </c>
      <c r="N24" t="s">
        <v>202</v>
      </c>
      <c r="P24" t="s">
        <v>258</v>
      </c>
      <c r="Q24" t="str">
        <f t="shared" ref="Q24:R24" si="3">P24</f>
        <v>PowerCons</v>
      </c>
      <c r="R24" t="str">
        <f t="shared" si="3"/>
        <v>PowerCons</v>
      </c>
      <c r="S24" t="s">
        <v>259</v>
      </c>
    </row>
    <row r="25" spans="3:19">
      <c r="C25" t="s">
        <v>50</v>
      </c>
      <c r="F25" t="s">
        <v>257</v>
      </c>
      <c r="K25" t="s">
        <v>21</v>
      </c>
      <c r="M25" t="str">
        <f t="shared" si="2"/>
        <v>FWkDM</v>
      </c>
      <c r="N25" t="s">
        <v>203</v>
      </c>
      <c r="P25" t="s">
        <v>258</v>
      </c>
      <c r="Q25" t="str">
        <f t="shared" ref="Q25:R25" si="4">P25</f>
        <v>PowerCons</v>
      </c>
      <c r="R25" t="str">
        <f t="shared" si="4"/>
        <v>PowerCons</v>
      </c>
      <c r="S25" t="s">
        <v>259</v>
      </c>
    </row>
    <row r="26" spans="3:19">
      <c r="C26" t="s">
        <v>50</v>
      </c>
      <c r="F26" t="s">
        <v>257</v>
      </c>
      <c r="K26" t="s">
        <v>21</v>
      </c>
      <c r="M26" t="str">
        <f t="shared" si="2"/>
        <v>FWkDN</v>
      </c>
      <c r="N26" t="s">
        <v>204</v>
      </c>
      <c r="P26" t="s">
        <v>258</v>
      </c>
      <c r="Q26" t="str">
        <f t="shared" ref="Q26:R26" si="5">P26</f>
        <v>PowerCons</v>
      </c>
      <c r="R26" t="str">
        <f t="shared" si="5"/>
        <v>PowerCons</v>
      </c>
      <c r="S26" t="s">
        <v>259</v>
      </c>
    </row>
    <row r="27" spans="3:19">
      <c r="C27" t="s">
        <v>50</v>
      </c>
      <c r="F27" t="s">
        <v>257</v>
      </c>
      <c r="K27" t="s">
        <v>21</v>
      </c>
      <c r="M27" t="str">
        <f t="shared" si="2"/>
        <v>FWkED</v>
      </c>
      <c r="N27" t="s">
        <v>205</v>
      </c>
      <c r="P27" t="s">
        <v>258</v>
      </c>
      <c r="Q27" t="str">
        <f t="shared" ref="Q27:R27" si="6">P27</f>
        <v>PowerCons</v>
      </c>
      <c r="R27" t="str">
        <f t="shared" si="6"/>
        <v>PowerCons</v>
      </c>
      <c r="S27" t="s">
        <v>259</v>
      </c>
    </row>
    <row r="28" spans="3:19">
      <c r="C28" t="s">
        <v>50</v>
      </c>
      <c r="F28" t="s">
        <v>257</v>
      </c>
      <c r="K28" t="s">
        <v>21</v>
      </c>
      <c r="M28" t="str">
        <f t="shared" si="2"/>
        <v>FWkEE</v>
      </c>
      <c r="N28" t="s">
        <v>206</v>
      </c>
      <c r="P28" t="s">
        <v>258</v>
      </c>
      <c r="Q28" t="str">
        <f t="shared" ref="Q28:R28" si="7">P28</f>
        <v>PowerCons</v>
      </c>
      <c r="R28" t="str">
        <f t="shared" si="7"/>
        <v>PowerCons</v>
      </c>
      <c r="S28" t="s">
        <v>259</v>
      </c>
    </row>
    <row r="29" spans="3:19">
      <c r="C29" t="s">
        <v>50</v>
      </c>
      <c r="F29" t="s">
        <v>257</v>
      </c>
      <c r="K29" t="s">
        <v>21</v>
      </c>
      <c r="M29" t="str">
        <f t="shared" si="2"/>
        <v>FWkEM</v>
      </c>
      <c r="N29" t="s">
        <v>207</v>
      </c>
      <c r="P29" t="s">
        <v>258</v>
      </c>
      <c r="Q29" t="str">
        <f t="shared" ref="Q29:R29" si="8">P29</f>
        <v>PowerCons</v>
      </c>
      <c r="R29" t="str">
        <f t="shared" si="8"/>
        <v>PowerCons</v>
      </c>
      <c r="S29" t="s">
        <v>259</v>
      </c>
    </row>
    <row r="30" spans="3:19">
      <c r="C30" t="s">
        <v>50</v>
      </c>
      <c r="F30" t="s">
        <v>257</v>
      </c>
      <c r="K30" t="s">
        <v>21</v>
      </c>
      <c r="M30" t="str">
        <f t="shared" si="2"/>
        <v>FWkEN</v>
      </c>
      <c r="N30" t="s">
        <v>208</v>
      </c>
      <c r="P30" t="s">
        <v>258</v>
      </c>
      <c r="Q30" t="str">
        <f t="shared" ref="Q30:R30" si="9">P30</f>
        <v>PowerCons</v>
      </c>
      <c r="R30" t="str">
        <f t="shared" si="9"/>
        <v>PowerCons</v>
      </c>
      <c r="S30" t="s">
        <v>259</v>
      </c>
    </row>
    <row r="31" spans="3:19">
      <c r="C31" t="s">
        <v>50</v>
      </c>
      <c r="F31" t="s">
        <v>257</v>
      </c>
      <c r="K31" t="s">
        <v>21</v>
      </c>
      <c r="M31" t="str">
        <f t="shared" si="2"/>
        <v>RWkDD</v>
      </c>
      <c r="N31" t="s">
        <v>209</v>
      </c>
      <c r="P31" t="s">
        <v>258</v>
      </c>
      <c r="Q31" t="str">
        <f t="shared" ref="Q31:R31" si="10">P31</f>
        <v>PowerCons</v>
      </c>
      <c r="R31" t="str">
        <f t="shared" si="10"/>
        <v>PowerCons</v>
      </c>
      <c r="S31" t="s">
        <v>259</v>
      </c>
    </row>
    <row r="32" spans="3:19">
      <c r="C32" t="s">
        <v>50</v>
      </c>
      <c r="F32" t="s">
        <v>257</v>
      </c>
      <c r="K32" t="s">
        <v>21</v>
      </c>
      <c r="M32" t="str">
        <f t="shared" si="2"/>
        <v>RWkDE</v>
      </c>
      <c r="N32" t="s">
        <v>210</v>
      </c>
      <c r="P32" t="s">
        <v>258</v>
      </c>
      <c r="Q32" t="str">
        <f t="shared" ref="Q32:R32" si="11">P32</f>
        <v>PowerCons</v>
      </c>
      <c r="R32" t="str">
        <f t="shared" si="11"/>
        <v>PowerCons</v>
      </c>
      <c r="S32" t="s">
        <v>259</v>
      </c>
    </row>
    <row r="33" spans="3:19">
      <c r="C33" t="s">
        <v>50</v>
      </c>
      <c r="F33" t="s">
        <v>257</v>
      </c>
      <c r="K33" t="s">
        <v>21</v>
      </c>
      <c r="M33" t="str">
        <f t="shared" si="2"/>
        <v>RWkDM</v>
      </c>
      <c r="N33" t="s">
        <v>211</v>
      </c>
      <c r="P33" t="s">
        <v>258</v>
      </c>
      <c r="Q33" t="str">
        <f t="shared" ref="Q33:R33" si="12">P33</f>
        <v>PowerCons</v>
      </c>
      <c r="R33" t="str">
        <f t="shared" si="12"/>
        <v>PowerCons</v>
      </c>
      <c r="S33" t="s">
        <v>259</v>
      </c>
    </row>
    <row r="34" spans="3:19">
      <c r="C34" t="s">
        <v>50</v>
      </c>
      <c r="F34" t="s">
        <v>257</v>
      </c>
      <c r="K34" t="s">
        <v>21</v>
      </c>
      <c r="M34" t="str">
        <f t="shared" si="2"/>
        <v>RWkDN</v>
      </c>
      <c r="N34" t="s">
        <v>212</v>
      </c>
      <c r="P34" t="s">
        <v>258</v>
      </c>
      <c r="Q34" t="str">
        <f t="shared" ref="Q34:R34" si="13">P34</f>
        <v>PowerCons</v>
      </c>
      <c r="R34" t="str">
        <f t="shared" si="13"/>
        <v>PowerCons</v>
      </c>
      <c r="S34" t="s">
        <v>259</v>
      </c>
    </row>
    <row r="35" spans="3:19">
      <c r="C35" t="s">
        <v>50</v>
      </c>
      <c r="F35" t="s">
        <v>257</v>
      </c>
      <c r="K35" t="s">
        <v>21</v>
      </c>
      <c r="M35" t="str">
        <f t="shared" si="2"/>
        <v>RWkED</v>
      </c>
      <c r="N35" t="s">
        <v>213</v>
      </c>
      <c r="P35" t="s">
        <v>258</v>
      </c>
      <c r="Q35" t="str">
        <f t="shared" ref="Q35:R35" si="14">P35</f>
        <v>PowerCons</v>
      </c>
      <c r="R35" t="str">
        <f t="shared" si="14"/>
        <v>PowerCons</v>
      </c>
      <c r="S35" t="s">
        <v>259</v>
      </c>
    </row>
    <row r="36" spans="3:19">
      <c r="C36" t="s">
        <v>50</v>
      </c>
      <c r="F36" t="s">
        <v>257</v>
      </c>
      <c r="K36" t="s">
        <v>21</v>
      </c>
      <c r="M36" t="str">
        <f t="shared" si="2"/>
        <v>RWkEE</v>
      </c>
      <c r="N36" t="s">
        <v>214</v>
      </c>
      <c r="P36" t="s">
        <v>258</v>
      </c>
      <c r="Q36" t="str">
        <f t="shared" ref="Q36:R36" si="15">P36</f>
        <v>PowerCons</v>
      </c>
      <c r="R36" t="str">
        <f t="shared" si="15"/>
        <v>PowerCons</v>
      </c>
      <c r="S36" t="s">
        <v>259</v>
      </c>
    </row>
    <row r="37" spans="3:19">
      <c r="C37" t="s">
        <v>50</v>
      </c>
      <c r="F37" t="s">
        <v>257</v>
      </c>
      <c r="K37" t="s">
        <v>21</v>
      </c>
      <c r="M37" t="str">
        <f t="shared" si="2"/>
        <v>RWkEM</v>
      </c>
      <c r="N37" t="s">
        <v>215</v>
      </c>
      <c r="P37" t="s">
        <v>258</v>
      </c>
      <c r="Q37" t="str">
        <f t="shared" ref="Q37:R37" si="16">P37</f>
        <v>PowerCons</v>
      </c>
      <c r="R37" t="str">
        <f t="shared" si="16"/>
        <v>PowerCons</v>
      </c>
      <c r="S37" t="s">
        <v>259</v>
      </c>
    </row>
    <row r="38" spans="3:19">
      <c r="C38" t="s">
        <v>50</v>
      </c>
      <c r="F38" t="s">
        <v>257</v>
      </c>
      <c r="K38" t="s">
        <v>21</v>
      </c>
      <c r="M38" t="str">
        <f t="shared" si="2"/>
        <v>RWkEN</v>
      </c>
      <c r="N38" t="s">
        <v>216</v>
      </c>
      <c r="P38" t="s">
        <v>258</v>
      </c>
      <c r="Q38" t="str">
        <f t="shared" ref="Q38:R38" si="17">P38</f>
        <v>PowerCons</v>
      </c>
      <c r="R38" t="str">
        <f t="shared" si="17"/>
        <v>PowerCons</v>
      </c>
      <c r="S38" t="s">
        <v>259</v>
      </c>
    </row>
    <row r="39" spans="3:19">
      <c r="C39" t="s">
        <v>50</v>
      </c>
      <c r="F39" t="s">
        <v>257</v>
      </c>
      <c r="K39" t="s">
        <v>21</v>
      </c>
      <c r="M39" t="str">
        <f t="shared" si="2"/>
        <v>SWkDD</v>
      </c>
      <c r="N39" t="s">
        <v>217</v>
      </c>
      <c r="P39" t="s">
        <v>258</v>
      </c>
      <c r="Q39" t="str">
        <f t="shared" ref="Q39:R39" si="18">P39</f>
        <v>PowerCons</v>
      </c>
      <c r="R39" t="str">
        <f t="shared" si="18"/>
        <v>PowerCons</v>
      </c>
      <c r="S39" t="s">
        <v>259</v>
      </c>
    </row>
    <row r="40" spans="3:19">
      <c r="C40" t="s">
        <v>50</v>
      </c>
      <c r="F40" t="s">
        <v>257</v>
      </c>
      <c r="K40" t="s">
        <v>21</v>
      </c>
      <c r="M40" t="str">
        <f t="shared" si="2"/>
        <v>SWkDE</v>
      </c>
      <c r="N40" t="s">
        <v>218</v>
      </c>
      <c r="P40" t="s">
        <v>258</v>
      </c>
      <c r="Q40" t="str">
        <f t="shared" ref="Q40:R40" si="19">P40</f>
        <v>PowerCons</v>
      </c>
      <c r="R40" t="str">
        <f t="shared" si="19"/>
        <v>PowerCons</v>
      </c>
      <c r="S40" t="s">
        <v>259</v>
      </c>
    </row>
    <row r="41" spans="3:19">
      <c r="C41" t="s">
        <v>50</v>
      </c>
      <c r="F41" t="s">
        <v>257</v>
      </c>
      <c r="K41" t="s">
        <v>21</v>
      </c>
      <c r="M41" t="str">
        <f t="shared" si="2"/>
        <v>SOdH00</v>
      </c>
      <c r="N41" t="s">
        <v>219</v>
      </c>
      <c r="P41" t="s">
        <v>258</v>
      </c>
      <c r="Q41" t="str">
        <f t="shared" ref="Q41:R41" si="20">P41</f>
        <v>PowerCons</v>
      </c>
      <c r="R41" t="str">
        <f t="shared" si="20"/>
        <v>PowerCons</v>
      </c>
      <c r="S41" t="s">
        <v>259</v>
      </c>
    </row>
    <row r="42" spans="3:19">
      <c r="C42" t="s">
        <v>50</v>
      </c>
      <c r="F42" t="s">
        <v>257</v>
      </c>
      <c r="K42" t="s">
        <v>21</v>
      </c>
      <c r="M42" t="str">
        <f t="shared" si="2"/>
        <v>SOdH01</v>
      </c>
      <c r="N42" t="s">
        <v>220</v>
      </c>
      <c r="P42" t="s">
        <v>258</v>
      </c>
      <c r="Q42" t="str">
        <f t="shared" ref="Q42:R42" si="21">P42</f>
        <v>PowerCons</v>
      </c>
      <c r="R42" t="str">
        <f t="shared" si="21"/>
        <v>PowerCons</v>
      </c>
      <c r="S42" t="s">
        <v>259</v>
      </c>
    </row>
    <row r="43" spans="3:19">
      <c r="C43" t="s">
        <v>50</v>
      </c>
      <c r="F43" t="s">
        <v>257</v>
      </c>
      <c r="K43" t="s">
        <v>21</v>
      </c>
      <c r="M43" t="str">
        <f t="shared" si="2"/>
        <v>SOdH02</v>
      </c>
      <c r="N43" t="s">
        <v>221</v>
      </c>
      <c r="P43" t="s">
        <v>258</v>
      </c>
      <c r="Q43" t="str">
        <f t="shared" ref="Q43:R43" si="22">P43</f>
        <v>PowerCons</v>
      </c>
      <c r="R43" t="str">
        <f t="shared" si="22"/>
        <v>PowerCons</v>
      </c>
      <c r="S43" t="s">
        <v>259</v>
      </c>
    </row>
    <row r="44" spans="3:19">
      <c r="C44" t="s">
        <v>50</v>
      </c>
      <c r="F44" t="s">
        <v>257</v>
      </c>
      <c r="K44" t="s">
        <v>21</v>
      </c>
      <c r="M44" t="str">
        <f t="shared" si="2"/>
        <v>SOdH03</v>
      </c>
      <c r="N44" t="s">
        <v>222</v>
      </c>
      <c r="P44" t="s">
        <v>258</v>
      </c>
      <c r="Q44" t="str">
        <f t="shared" ref="Q44:R44" si="23">P44</f>
        <v>PowerCons</v>
      </c>
      <c r="R44" t="str">
        <f t="shared" si="23"/>
        <v>PowerCons</v>
      </c>
      <c r="S44" t="s">
        <v>259</v>
      </c>
    </row>
    <row r="45" spans="3:19">
      <c r="C45" t="s">
        <v>50</v>
      </c>
      <c r="F45" t="s">
        <v>257</v>
      </c>
      <c r="K45" t="s">
        <v>21</v>
      </c>
      <c r="M45" t="str">
        <f t="shared" si="2"/>
        <v>SOdH04</v>
      </c>
      <c r="N45" t="s">
        <v>223</v>
      </c>
      <c r="P45" t="s">
        <v>258</v>
      </c>
      <c r="Q45" t="str">
        <f t="shared" ref="Q45:R45" si="24">P45</f>
        <v>PowerCons</v>
      </c>
      <c r="R45" t="str">
        <f t="shared" si="24"/>
        <v>PowerCons</v>
      </c>
      <c r="S45" t="s">
        <v>259</v>
      </c>
    </row>
    <row r="46" spans="3:19">
      <c r="C46" t="s">
        <v>50</v>
      </c>
      <c r="F46" t="s">
        <v>257</v>
      </c>
      <c r="K46" t="s">
        <v>21</v>
      </c>
      <c r="M46" t="str">
        <f t="shared" si="2"/>
        <v>SOdH05</v>
      </c>
      <c r="N46" t="s">
        <v>224</v>
      </c>
      <c r="P46" t="s">
        <v>258</v>
      </c>
      <c r="Q46" t="str">
        <f t="shared" ref="Q46:R46" si="25">P46</f>
        <v>PowerCons</v>
      </c>
      <c r="R46" t="str">
        <f t="shared" si="25"/>
        <v>PowerCons</v>
      </c>
      <c r="S46" t="s">
        <v>259</v>
      </c>
    </row>
    <row r="47" spans="3:19">
      <c r="C47" t="s">
        <v>50</v>
      </c>
      <c r="F47" t="s">
        <v>257</v>
      </c>
      <c r="K47" t="s">
        <v>21</v>
      </c>
      <c r="M47" t="str">
        <f t="shared" si="2"/>
        <v>SOdH06</v>
      </c>
      <c r="N47" t="s">
        <v>225</v>
      </c>
      <c r="P47" t="s">
        <v>258</v>
      </c>
      <c r="Q47" t="str">
        <f t="shared" ref="Q47:R47" si="26">P47</f>
        <v>PowerCons</v>
      </c>
      <c r="R47" t="str">
        <f t="shared" si="26"/>
        <v>PowerCons</v>
      </c>
      <c r="S47" t="s">
        <v>259</v>
      </c>
    </row>
    <row r="48" spans="3:19">
      <c r="C48" t="s">
        <v>50</v>
      </c>
      <c r="F48" t="s">
        <v>257</v>
      </c>
      <c r="K48" t="s">
        <v>21</v>
      </c>
      <c r="M48" t="str">
        <f t="shared" si="2"/>
        <v>SOdH07</v>
      </c>
      <c r="N48" t="s">
        <v>226</v>
      </c>
      <c r="P48" t="s">
        <v>258</v>
      </c>
      <c r="Q48" t="str">
        <f t="shared" ref="Q48:R48" si="27">P48</f>
        <v>PowerCons</v>
      </c>
      <c r="R48" t="str">
        <f t="shared" si="27"/>
        <v>PowerCons</v>
      </c>
      <c r="S48" t="s">
        <v>259</v>
      </c>
    </row>
    <row r="49" spans="3:19">
      <c r="C49" t="s">
        <v>50</v>
      </c>
      <c r="F49" t="s">
        <v>257</v>
      </c>
      <c r="K49" t="s">
        <v>21</v>
      </c>
      <c r="M49" t="str">
        <f t="shared" si="2"/>
        <v>SOdH08</v>
      </c>
      <c r="N49" t="s">
        <v>227</v>
      </c>
      <c r="P49" t="s">
        <v>258</v>
      </c>
      <c r="Q49" t="str">
        <f t="shared" ref="Q49:R49" si="28">P49</f>
        <v>PowerCons</v>
      </c>
      <c r="R49" t="str">
        <f t="shared" si="28"/>
        <v>PowerCons</v>
      </c>
      <c r="S49" t="s">
        <v>259</v>
      </c>
    </row>
    <row r="50" spans="3:19">
      <c r="C50" t="s">
        <v>50</v>
      </c>
      <c r="F50" t="s">
        <v>257</v>
      </c>
      <c r="K50" t="s">
        <v>21</v>
      </c>
      <c r="M50" t="str">
        <f t="shared" si="2"/>
        <v>SOdH09</v>
      </c>
      <c r="N50" t="s">
        <v>228</v>
      </c>
      <c r="P50" t="s">
        <v>258</v>
      </c>
      <c r="Q50" t="str">
        <f t="shared" ref="Q50:R50" si="29">P50</f>
        <v>PowerCons</v>
      </c>
      <c r="R50" t="str">
        <f t="shared" si="29"/>
        <v>PowerCons</v>
      </c>
      <c r="S50" t="s">
        <v>259</v>
      </c>
    </row>
    <row r="51" spans="3:19">
      <c r="C51" t="s">
        <v>50</v>
      </c>
      <c r="F51" t="s">
        <v>257</v>
      </c>
      <c r="K51" t="s">
        <v>21</v>
      </c>
      <c r="M51" t="str">
        <f t="shared" si="2"/>
        <v>SOdH10</v>
      </c>
      <c r="N51" t="s">
        <v>229</v>
      </c>
      <c r="P51" t="s">
        <v>258</v>
      </c>
      <c r="Q51" t="str">
        <f t="shared" ref="Q51:R51" si="30">P51</f>
        <v>PowerCons</v>
      </c>
      <c r="R51" t="str">
        <f t="shared" si="30"/>
        <v>PowerCons</v>
      </c>
      <c r="S51" t="s">
        <v>259</v>
      </c>
    </row>
    <row r="52" spans="3:19">
      <c r="C52" t="s">
        <v>50</v>
      </c>
      <c r="F52" t="s">
        <v>257</v>
      </c>
      <c r="K52" t="s">
        <v>21</v>
      </c>
      <c r="M52" t="str">
        <f t="shared" si="2"/>
        <v>SOdH11</v>
      </c>
      <c r="N52" t="s">
        <v>230</v>
      </c>
      <c r="P52" t="s">
        <v>258</v>
      </c>
      <c r="Q52" t="str">
        <f t="shared" ref="Q52:R52" si="31">P52</f>
        <v>PowerCons</v>
      </c>
      <c r="R52" t="str">
        <f t="shared" si="31"/>
        <v>PowerCons</v>
      </c>
      <c r="S52" t="s">
        <v>259</v>
      </c>
    </row>
    <row r="53" spans="3:19">
      <c r="C53" t="s">
        <v>50</v>
      </c>
      <c r="F53" t="s">
        <v>257</v>
      </c>
      <c r="K53" t="s">
        <v>21</v>
      </c>
      <c r="M53" t="str">
        <f t="shared" si="2"/>
        <v>SOdH12</v>
      </c>
      <c r="N53" t="s">
        <v>231</v>
      </c>
      <c r="P53" t="s">
        <v>258</v>
      </c>
      <c r="Q53" t="str">
        <f t="shared" ref="Q53:R53" si="32">P53</f>
        <v>PowerCons</v>
      </c>
      <c r="R53" t="str">
        <f t="shared" si="32"/>
        <v>PowerCons</v>
      </c>
      <c r="S53" t="s">
        <v>259</v>
      </c>
    </row>
    <row r="54" spans="3:19">
      <c r="C54" t="s">
        <v>50</v>
      </c>
      <c r="F54" t="s">
        <v>257</v>
      </c>
      <c r="K54" t="s">
        <v>21</v>
      </c>
      <c r="M54" t="str">
        <f t="shared" si="2"/>
        <v>SOdH13</v>
      </c>
      <c r="N54" t="s">
        <v>232</v>
      </c>
      <c r="P54" t="s">
        <v>258</v>
      </c>
      <c r="Q54" t="str">
        <f t="shared" ref="Q54:R54" si="33">P54</f>
        <v>PowerCons</v>
      </c>
      <c r="R54" t="str">
        <f t="shared" si="33"/>
        <v>PowerCons</v>
      </c>
      <c r="S54" t="s">
        <v>259</v>
      </c>
    </row>
    <row r="55" spans="3:19">
      <c r="C55" t="s">
        <v>50</v>
      </c>
      <c r="F55" t="s">
        <v>257</v>
      </c>
      <c r="K55" t="s">
        <v>21</v>
      </c>
      <c r="M55" t="str">
        <f t="shared" si="2"/>
        <v>SOdH14</v>
      </c>
      <c r="N55" t="s">
        <v>233</v>
      </c>
      <c r="P55" t="s">
        <v>258</v>
      </c>
      <c r="Q55" t="str">
        <f t="shared" ref="Q55:R55" si="34">P55</f>
        <v>PowerCons</v>
      </c>
      <c r="R55" t="str">
        <f t="shared" si="34"/>
        <v>PowerCons</v>
      </c>
      <c r="S55" t="s">
        <v>259</v>
      </c>
    </row>
    <row r="56" spans="3:19">
      <c r="C56" t="s">
        <v>50</v>
      </c>
      <c r="F56" t="s">
        <v>257</v>
      </c>
      <c r="K56" t="s">
        <v>21</v>
      </c>
      <c r="M56" t="str">
        <f t="shared" si="2"/>
        <v>SOdH15</v>
      </c>
      <c r="N56" t="s">
        <v>234</v>
      </c>
      <c r="P56" t="s">
        <v>258</v>
      </c>
      <c r="Q56" t="str">
        <f t="shared" ref="Q56:R56" si="35">P56</f>
        <v>PowerCons</v>
      </c>
      <c r="R56" t="str">
        <f t="shared" si="35"/>
        <v>PowerCons</v>
      </c>
      <c r="S56" t="s">
        <v>259</v>
      </c>
    </row>
    <row r="57" spans="3:19">
      <c r="C57" t="s">
        <v>50</v>
      </c>
      <c r="F57" t="s">
        <v>257</v>
      </c>
      <c r="K57" t="s">
        <v>21</v>
      </c>
      <c r="M57" t="str">
        <f t="shared" si="2"/>
        <v>SOdH16</v>
      </c>
      <c r="N57" t="s">
        <v>235</v>
      </c>
      <c r="P57" t="s">
        <v>258</v>
      </c>
      <c r="Q57" t="str">
        <f t="shared" ref="Q57:R57" si="36">P57</f>
        <v>PowerCons</v>
      </c>
      <c r="R57" t="str">
        <f t="shared" si="36"/>
        <v>PowerCons</v>
      </c>
      <c r="S57" t="s">
        <v>259</v>
      </c>
    </row>
    <row r="58" spans="3:19">
      <c r="C58" t="s">
        <v>50</v>
      </c>
      <c r="F58" t="s">
        <v>257</v>
      </c>
      <c r="K58" t="s">
        <v>21</v>
      </c>
      <c r="M58" t="str">
        <f t="shared" si="2"/>
        <v>SOdH17</v>
      </c>
      <c r="N58" t="s">
        <v>236</v>
      </c>
      <c r="P58" t="s">
        <v>258</v>
      </c>
      <c r="Q58" t="str">
        <f t="shared" ref="Q58:R58" si="37">P58</f>
        <v>PowerCons</v>
      </c>
      <c r="R58" t="str">
        <f t="shared" si="37"/>
        <v>PowerCons</v>
      </c>
      <c r="S58" t="s">
        <v>259</v>
      </c>
    </row>
    <row r="59" spans="3:19">
      <c r="C59" t="s">
        <v>50</v>
      </c>
      <c r="F59" t="s">
        <v>257</v>
      </c>
      <c r="K59" t="s">
        <v>21</v>
      </c>
      <c r="M59" t="str">
        <f t="shared" si="2"/>
        <v>SOdH18</v>
      </c>
      <c r="N59" t="s">
        <v>237</v>
      </c>
      <c r="P59" t="s">
        <v>258</v>
      </c>
      <c r="Q59" t="str">
        <f t="shared" ref="Q59:R59" si="38">P59</f>
        <v>PowerCons</v>
      </c>
      <c r="R59" t="str">
        <f t="shared" si="38"/>
        <v>PowerCons</v>
      </c>
      <c r="S59" t="s">
        <v>259</v>
      </c>
    </row>
    <row r="60" spans="3:19">
      <c r="C60" t="s">
        <v>50</v>
      </c>
      <c r="F60" t="s">
        <v>257</v>
      </c>
      <c r="K60" t="s">
        <v>21</v>
      </c>
      <c r="M60" t="str">
        <f t="shared" si="2"/>
        <v>SOdH19</v>
      </c>
      <c r="N60" t="s">
        <v>238</v>
      </c>
      <c r="P60" t="s">
        <v>258</v>
      </c>
      <c r="Q60" t="str">
        <f t="shared" ref="Q60:R60" si="39">P60</f>
        <v>PowerCons</v>
      </c>
      <c r="R60" t="str">
        <f t="shared" si="39"/>
        <v>PowerCons</v>
      </c>
      <c r="S60" t="s">
        <v>259</v>
      </c>
    </row>
    <row r="61" spans="3:19">
      <c r="C61" t="s">
        <v>50</v>
      </c>
      <c r="F61" t="s">
        <v>257</v>
      </c>
      <c r="K61" t="s">
        <v>21</v>
      </c>
      <c r="M61" t="str">
        <f t="shared" si="2"/>
        <v>SOdH20</v>
      </c>
      <c r="N61" t="s">
        <v>239</v>
      </c>
      <c r="P61" t="s">
        <v>258</v>
      </c>
      <c r="Q61" t="str">
        <f t="shared" ref="Q61:R61" si="40">P61</f>
        <v>PowerCons</v>
      </c>
      <c r="R61" t="str">
        <f t="shared" si="40"/>
        <v>PowerCons</v>
      </c>
      <c r="S61" t="s">
        <v>259</v>
      </c>
    </row>
    <row r="62" spans="3:19">
      <c r="C62" t="s">
        <v>50</v>
      </c>
      <c r="F62" t="s">
        <v>257</v>
      </c>
      <c r="K62" t="s">
        <v>21</v>
      </c>
      <c r="M62" t="str">
        <f t="shared" si="2"/>
        <v>SOdH21</v>
      </c>
      <c r="N62" t="s">
        <v>240</v>
      </c>
      <c r="P62" t="s">
        <v>258</v>
      </c>
      <c r="Q62" t="str">
        <f t="shared" ref="Q62:R62" si="41">P62</f>
        <v>PowerCons</v>
      </c>
      <c r="R62" t="str">
        <f t="shared" si="41"/>
        <v>PowerCons</v>
      </c>
      <c r="S62" t="s">
        <v>259</v>
      </c>
    </row>
    <row r="63" spans="3:19">
      <c r="C63" t="s">
        <v>50</v>
      </c>
      <c r="F63" t="s">
        <v>257</v>
      </c>
      <c r="K63" t="s">
        <v>21</v>
      </c>
      <c r="M63" t="str">
        <f t="shared" si="2"/>
        <v>SOdH22</v>
      </c>
      <c r="N63" t="s">
        <v>241</v>
      </c>
      <c r="P63" t="s">
        <v>258</v>
      </c>
      <c r="Q63" t="str">
        <f t="shared" ref="Q63:R63" si="42">P63</f>
        <v>PowerCons</v>
      </c>
      <c r="R63" t="str">
        <f t="shared" si="42"/>
        <v>PowerCons</v>
      </c>
      <c r="S63" t="s">
        <v>259</v>
      </c>
    </row>
    <row r="64" spans="3:19">
      <c r="C64" t="s">
        <v>50</v>
      </c>
      <c r="F64" t="s">
        <v>257</v>
      </c>
      <c r="K64" t="s">
        <v>21</v>
      </c>
      <c r="M64" t="str">
        <f t="shared" si="2"/>
        <v>SOdH23</v>
      </c>
      <c r="N64" t="s">
        <v>242</v>
      </c>
      <c r="P64" t="s">
        <v>258</v>
      </c>
      <c r="Q64" t="str">
        <f t="shared" ref="Q64:R64" si="43">P64</f>
        <v>PowerCons</v>
      </c>
      <c r="R64" t="str">
        <f t="shared" si="43"/>
        <v>PowerCons</v>
      </c>
      <c r="S64" t="s">
        <v>259</v>
      </c>
    </row>
    <row r="65" spans="3:19">
      <c r="C65" t="s">
        <v>50</v>
      </c>
      <c r="F65" t="s">
        <v>257</v>
      </c>
      <c r="K65" t="s">
        <v>21</v>
      </c>
      <c r="M65" t="str">
        <f t="shared" si="2"/>
        <v>SWkDM</v>
      </c>
      <c r="N65" t="s">
        <v>243</v>
      </c>
      <c r="P65" t="s">
        <v>258</v>
      </c>
      <c r="Q65" t="str">
        <f t="shared" ref="Q65:R65" si="44">P65</f>
        <v>PowerCons</v>
      </c>
      <c r="R65" t="str">
        <f t="shared" si="44"/>
        <v>PowerCons</v>
      </c>
      <c r="S65" t="s">
        <v>259</v>
      </c>
    </row>
    <row r="66" spans="3:19">
      <c r="C66" t="s">
        <v>50</v>
      </c>
      <c r="F66" t="s">
        <v>257</v>
      </c>
      <c r="K66" t="s">
        <v>21</v>
      </c>
      <c r="M66" t="str">
        <f t="shared" si="2"/>
        <v>SWkDN</v>
      </c>
      <c r="N66" t="s">
        <v>244</v>
      </c>
      <c r="P66" t="s">
        <v>258</v>
      </c>
      <c r="Q66" t="str">
        <f t="shared" ref="Q66:R66" si="45">P66</f>
        <v>PowerCons</v>
      </c>
      <c r="R66" t="str">
        <f t="shared" si="45"/>
        <v>PowerCons</v>
      </c>
      <c r="S66" t="s">
        <v>259</v>
      </c>
    </row>
    <row r="67" spans="3:19">
      <c r="C67" t="s">
        <v>50</v>
      </c>
      <c r="F67" t="s">
        <v>257</v>
      </c>
      <c r="K67" t="s">
        <v>21</v>
      </c>
      <c r="M67" t="str">
        <f t="shared" si="2"/>
        <v>SWkED</v>
      </c>
      <c r="N67" t="s">
        <v>245</v>
      </c>
      <c r="P67" t="s">
        <v>258</v>
      </c>
      <c r="Q67" t="str">
        <f t="shared" ref="Q67:R67" si="46">P67</f>
        <v>PowerCons</v>
      </c>
      <c r="R67" t="str">
        <f t="shared" si="46"/>
        <v>PowerCons</v>
      </c>
      <c r="S67" t="s">
        <v>259</v>
      </c>
    </row>
    <row r="68" spans="3:19">
      <c r="C68" t="s">
        <v>50</v>
      </c>
      <c r="F68" t="s">
        <v>257</v>
      </c>
      <c r="K68" t="s">
        <v>21</v>
      </c>
      <c r="M68" t="str">
        <f t="shared" si="2"/>
        <v>SWkEE</v>
      </c>
      <c r="N68" t="s">
        <v>246</v>
      </c>
      <c r="P68" t="s">
        <v>258</v>
      </c>
      <c r="Q68" t="str">
        <f t="shared" ref="Q68:R68" si="47">P68</f>
        <v>PowerCons</v>
      </c>
      <c r="R68" t="str">
        <f t="shared" si="47"/>
        <v>PowerCons</v>
      </c>
      <c r="S68" t="s">
        <v>259</v>
      </c>
    </row>
    <row r="69" spans="3:19">
      <c r="C69" t="s">
        <v>50</v>
      </c>
      <c r="F69" t="s">
        <v>257</v>
      </c>
      <c r="K69" t="s">
        <v>21</v>
      </c>
      <c r="M69" t="str">
        <f t="shared" si="2"/>
        <v>SWkEM</v>
      </c>
      <c r="N69" t="s">
        <v>247</v>
      </c>
      <c r="P69" t="s">
        <v>258</v>
      </c>
      <c r="Q69" t="str">
        <f t="shared" ref="Q69:R69" si="48">P69</f>
        <v>PowerCons</v>
      </c>
      <c r="R69" t="str">
        <f t="shared" si="48"/>
        <v>PowerCons</v>
      </c>
      <c r="S69" t="s">
        <v>259</v>
      </c>
    </row>
    <row r="70" spans="3:19">
      <c r="C70" t="s">
        <v>50</v>
      </c>
      <c r="F70" t="s">
        <v>257</v>
      </c>
      <c r="K70" t="s">
        <v>21</v>
      </c>
      <c r="M70" t="str">
        <f t="shared" si="2"/>
        <v>SWkEN</v>
      </c>
      <c r="N70" t="s">
        <v>248</v>
      </c>
      <c r="P70" t="s">
        <v>258</v>
      </c>
      <c r="Q70" t="str">
        <f t="shared" ref="Q70:R70" si="49">P70</f>
        <v>PowerCons</v>
      </c>
      <c r="R70" t="str">
        <f t="shared" si="49"/>
        <v>PowerCons</v>
      </c>
      <c r="S70" t="s">
        <v>259</v>
      </c>
    </row>
    <row r="71" spans="3:19">
      <c r="C71" t="s">
        <v>50</v>
      </c>
      <c r="F71" t="s">
        <v>257</v>
      </c>
      <c r="K71" t="s">
        <v>21</v>
      </c>
      <c r="M71" t="str">
        <f t="shared" si="2"/>
        <v>WWkDD</v>
      </c>
      <c r="N71" t="s">
        <v>249</v>
      </c>
      <c r="P71" t="s">
        <v>258</v>
      </c>
      <c r="Q71" t="str">
        <f t="shared" ref="Q71:R71" si="50">P71</f>
        <v>PowerCons</v>
      </c>
      <c r="R71" t="str">
        <f t="shared" si="50"/>
        <v>PowerCons</v>
      </c>
      <c r="S71" t="s">
        <v>259</v>
      </c>
    </row>
    <row r="72" spans="3:19">
      <c r="C72" t="s">
        <v>50</v>
      </c>
      <c r="F72" t="s">
        <v>257</v>
      </c>
      <c r="K72" t="s">
        <v>21</v>
      </c>
      <c r="M72" t="str">
        <f t="shared" si="2"/>
        <v>WWkDE</v>
      </c>
      <c r="N72" t="s">
        <v>250</v>
      </c>
      <c r="P72" t="s">
        <v>258</v>
      </c>
      <c r="Q72" t="str">
        <f t="shared" ref="Q72:R72" si="51">P72</f>
        <v>PowerCons</v>
      </c>
      <c r="R72" t="str">
        <f t="shared" si="51"/>
        <v>PowerCons</v>
      </c>
      <c r="S72" t="s">
        <v>259</v>
      </c>
    </row>
    <row r="73" spans="3:19">
      <c r="C73" t="s">
        <v>50</v>
      </c>
      <c r="F73" t="s">
        <v>257</v>
      </c>
      <c r="K73" t="s">
        <v>21</v>
      </c>
      <c r="M73" t="str">
        <f t="shared" si="2"/>
        <v>WWkDM</v>
      </c>
      <c r="N73" t="s">
        <v>251</v>
      </c>
      <c r="P73" t="s">
        <v>258</v>
      </c>
      <c r="Q73" t="str">
        <f t="shared" ref="Q73:R73" si="52">P73</f>
        <v>PowerCons</v>
      </c>
      <c r="R73" t="str">
        <f t="shared" si="52"/>
        <v>PowerCons</v>
      </c>
      <c r="S73" t="s">
        <v>259</v>
      </c>
    </row>
    <row r="74" spans="3:19">
      <c r="C74" t="s">
        <v>50</v>
      </c>
      <c r="F74" t="s">
        <v>257</v>
      </c>
      <c r="K74" t="s">
        <v>21</v>
      </c>
      <c r="M74" t="str">
        <f t="shared" si="2"/>
        <v>WWkDN</v>
      </c>
      <c r="N74" t="s">
        <v>252</v>
      </c>
      <c r="P74" t="s">
        <v>258</v>
      </c>
      <c r="Q74" t="str">
        <f t="shared" ref="Q74:R74" si="53">P74</f>
        <v>PowerCons</v>
      </c>
      <c r="R74" t="str">
        <f t="shared" si="53"/>
        <v>PowerCons</v>
      </c>
      <c r="S74" t="s">
        <v>259</v>
      </c>
    </row>
    <row r="75" spans="3:19">
      <c r="C75" t="s">
        <v>50</v>
      </c>
      <c r="F75" t="s">
        <v>257</v>
      </c>
      <c r="K75" t="s">
        <v>21</v>
      </c>
      <c r="M75" t="str">
        <f t="shared" si="2"/>
        <v>WWkED</v>
      </c>
      <c r="N75" t="s">
        <v>253</v>
      </c>
      <c r="P75" t="s">
        <v>258</v>
      </c>
      <c r="Q75" t="str">
        <f t="shared" ref="Q75:R75" si="54">P75</f>
        <v>PowerCons</v>
      </c>
      <c r="R75" t="str">
        <f t="shared" si="54"/>
        <v>PowerCons</v>
      </c>
      <c r="S75" t="s">
        <v>259</v>
      </c>
    </row>
    <row r="76" spans="3:19">
      <c r="C76" t="s">
        <v>50</v>
      </c>
      <c r="F76" t="s">
        <v>257</v>
      </c>
      <c r="K76" t="s">
        <v>21</v>
      </c>
      <c r="M76" t="str">
        <f t="shared" si="2"/>
        <v>WWkEE</v>
      </c>
      <c r="N76" t="s">
        <v>254</v>
      </c>
      <c r="P76" t="s">
        <v>258</v>
      </c>
      <c r="Q76" t="str">
        <f t="shared" ref="Q76:R76" si="55">P76</f>
        <v>PowerCons</v>
      </c>
      <c r="R76" t="str">
        <f t="shared" si="55"/>
        <v>PowerCons</v>
      </c>
      <c r="S76" t="s">
        <v>259</v>
      </c>
    </row>
    <row r="77" spans="3:19">
      <c r="C77" t="s">
        <v>50</v>
      </c>
      <c r="F77" t="s">
        <v>257</v>
      </c>
      <c r="K77" t="s">
        <v>21</v>
      </c>
      <c r="M77" t="str">
        <f t="shared" si="2"/>
        <v>WWkEM</v>
      </c>
      <c r="N77" t="s">
        <v>255</v>
      </c>
      <c r="P77" t="s">
        <v>258</v>
      </c>
      <c r="Q77" t="str">
        <f t="shared" ref="Q77:R77" si="56">P77</f>
        <v>PowerCons</v>
      </c>
      <c r="R77" t="str">
        <f t="shared" si="56"/>
        <v>PowerCons</v>
      </c>
      <c r="S77" t="s">
        <v>259</v>
      </c>
    </row>
    <row r="78" spans="3:19">
      <c r="C78" t="s">
        <v>50</v>
      </c>
      <c r="F78" t="s">
        <v>257</v>
      </c>
      <c r="K78" t="s">
        <v>21</v>
      </c>
      <c r="M78" t="str">
        <f t="shared" si="2"/>
        <v>WWkEN</v>
      </c>
      <c r="N78" t="s">
        <v>256</v>
      </c>
      <c r="P78" t="s">
        <v>258</v>
      </c>
      <c r="Q78" t="str">
        <f t="shared" ref="Q78:R78" si="57">P78</f>
        <v>PowerCons</v>
      </c>
      <c r="R78" t="str">
        <f t="shared" si="57"/>
        <v>PowerCons</v>
      </c>
      <c r="S78" t="s">
        <v>259</v>
      </c>
    </row>
  </sheetData>
  <mergeCells count="1">
    <mergeCell ref="V5:W5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20"/>
  <sheetViews>
    <sheetView workbookViewId="0">
      <selection activeCell="F3" sqref="F3:F5"/>
    </sheetView>
  </sheetViews>
  <sheetFormatPr defaultRowHeight="15"/>
  <cols>
    <col min="1" max="1" width="10.85546875" bestFit="1" customWidth="1"/>
    <col min="2" max="3" width="11.5703125" bestFit="1" customWidth="1"/>
    <col min="6" max="6" width="11" bestFit="1" customWidth="1"/>
  </cols>
  <sheetData>
    <row r="1" spans="1:6">
      <c r="A1" s="1" t="s">
        <v>44</v>
      </c>
    </row>
    <row r="2" spans="1:6">
      <c r="A2" t="s">
        <v>45</v>
      </c>
      <c r="B2" t="s">
        <v>1</v>
      </c>
      <c r="C2" t="s">
        <v>27</v>
      </c>
    </row>
    <row r="3" spans="1:6">
      <c r="A3" t="s">
        <v>111</v>
      </c>
      <c r="B3" t="s">
        <v>26</v>
      </c>
      <c r="C3" t="str">
        <f>B3</f>
        <v>Agriculture</v>
      </c>
      <c r="F3" s="3" t="str">
        <f>A3</f>
        <v>SECAGR</v>
      </c>
    </row>
    <row r="4" spans="1:6">
      <c r="A4" t="s">
        <v>112</v>
      </c>
      <c r="B4" t="s">
        <v>15</v>
      </c>
      <c r="C4" t="str">
        <f t="shared" ref="C4:C20" si="0">B4</f>
        <v>Commercial</v>
      </c>
      <c r="F4" s="3" t="str">
        <f>F3&amp;","&amp;A4</f>
        <v>SECAGR,SECCOM</v>
      </c>
    </row>
    <row r="5" spans="1:6">
      <c r="A5" t="s">
        <v>113</v>
      </c>
      <c r="B5" t="s">
        <v>114</v>
      </c>
      <c r="C5" t="str">
        <f t="shared" si="0"/>
        <v>Power</v>
      </c>
      <c r="F5" s="3" t="str">
        <f>F4&amp;","&amp;A5</f>
        <v>SECAGR,SECCOM,SECELC</v>
      </c>
    </row>
    <row r="6" spans="1:6">
      <c r="A6" t="s">
        <v>115</v>
      </c>
      <c r="B6" t="s">
        <v>6</v>
      </c>
      <c r="C6" t="str">
        <f t="shared" si="0"/>
        <v>Industry</v>
      </c>
      <c r="F6" s="3" t="str">
        <f>F5&amp;","&amp;A6</f>
        <v>SECAGR,SECCOM,SECELC,SECIND</v>
      </c>
    </row>
    <row r="7" spans="1:6">
      <c r="A7" t="s">
        <v>116</v>
      </c>
      <c r="B7" t="s">
        <v>16</v>
      </c>
      <c r="C7" t="str">
        <f t="shared" si="0"/>
        <v>Residential</v>
      </c>
      <c r="F7" s="3" t="str">
        <f>F6&amp;","&amp;A7</f>
        <v>SECAGR,SECCOM,SECELC,SECIND,SECRES</v>
      </c>
    </row>
    <row r="8" spans="1:6">
      <c r="A8" t="s">
        <v>117</v>
      </c>
      <c r="B8" t="s">
        <v>7</v>
      </c>
      <c r="C8" t="str">
        <f t="shared" si="0"/>
        <v>Transport</v>
      </c>
      <c r="F8" s="3" t="str">
        <f>F7&amp;","&amp;A8</f>
        <v>SECAGR,SECCOM,SECELC,SECIND,SECRES,SECTRA</v>
      </c>
    </row>
    <row r="9" spans="1:6">
      <c r="A9" t="s">
        <v>118</v>
      </c>
      <c r="B9" t="s">
        <v>119</v>
      </c>
      <c r="C9" t="str">
        <f t="shared" si="0"/>
        <v>Trade</v>
      </c>
      <c r="F9" s="3" t="str">
        <f>A9</f>
        <v>TRD_ENDO</v>
      </c>
    </row>
    <row r="10" spans="1:6">
      <c r="A10" t="s">
        <v>120</v>
      </c>
      <c r="B10" t="s">
        <v>121</v>
      </c>
      <c r="C10" t="str">
        <f t="shared" si="0"/>
        <v>DumImp</v>
      </c>
      <c r="F10" s="3" t="str">
        <f>A10</f>
        <v>DUMIMP</v>
      </c>
    </row>
    <row r="11" spans="1:6">
      <c r="A11" t="s">
        <v>82</v>
      </c>
      <c r="B11" t="s">
        <v>3</v>
      </c>
      <c r="C11" t="str">
        <f t="shared" si="0"/>
        <v>Bio</v>
      </c>
      <c r="F11" s="3" t="str">
        <f>A11</f>
        <v>ELEBIO</v>
      </c>
    </row>
    <row r="12" spans="1:6">
      <c r="A12" t="s">
        <v>83</v>
      </c>
      <c r="B12" t="s">
        <v>4</v>
      </c>
      <c r="C12" t="str">
        <f t="shared" si="0"/>
        <v>Coal</v>
      </c>
      <c r="F12" s="3" t="str">
        <f t="shared" ref="F12:F19" si="1">F11&amp;","&amp;A12</f>
        <v>ELEBIO,ELECOA</v>
      </c>
    </row>
    <row r="13" spans="1:6">
      <c r="A13" t="s">
        <v>122</v>
      </c>
      <c r="B13" t="s">
        <v>95</v>
      </c>
      <c r="C13" t="str">
        <f t="shared" si="0"/>
        <v>Storage</v>
      </c>
      <c r="F13" s="3" t="str">
        <f t="shared" si="1"/>
        <v>ELEBIO,ELECOA,ELEELC</v>
      </c>
    </row>
    <row r="14" spans="1:6">
      <c r="A14" t="s">
        <v>84</v>
      </c>
      <c r="B14" t="s">
        <v>5</v>
      </c>
      <c r="C14" t="str">
        <f t="shared" si="0"/>
        <v>Gas</v>
      </c>
      <c r="F14" s="3" t="str">
        <f t="shared" si="1"/>
        <v>ELEBIO,ELECOA,ELEELC,ELEGAS</v>
      </c>
    </row>
    <row r="15" spans="1:6">
      <c r="A15" t="s">
        <v>63</v>
      </c>
      <c r="B15" t="s">
        <v>8</v>
      </c>
      <c r="C15" t="str">
        <f t="shared" si="0"/>
        <v>Hydro</v>
      </c>
      <c r="F15" s="3" t="str">
        <f t="shared" si="1"/>
        <v>ELEBIO,ELECOA,ELEELC,ELEGAS,ELEHYD</v>
      </c>
    </row>
    <row r="16" spans="1:6">
      <c r="A16" t="s">
        <v>64</v>
      </c>
      <c r="B16" t="s">
        <v>9</v>
      </c>
      <c r="C16" t="str">
        <f t="shared" si="0"/>
        <v>Nuclear</v>
      </c>
      <c r="F16" s="3" t="str">
        <f t="shared" si="1"/>
        <v>ELEBIO,ELECOA,ELEELC,ELEGAS,ELEHYD,ELENUC</v>
      </c>
    </row>
    <row r="17" spans="1:6">
      <c r="A17" t="s">
        <v>78</v>
      </c>
      <c r="B17" t="s">
        <v>10</v>
      </c>
      <c r="C17" t="str">
        <f t="shared" si="0"/>
        <v>Oil</v>
      </c>
      <c r="F17" s="3" t="str">
        <f t="shared" si="1"/>
        <v>ELEBIO,ELECOA,ELEELC,ELEGAS,ELEHYD,ELENUC,ELEOIL</v>
      </c>
    </row>
    <row r="18" spans="1:6">
      <c r="A18" t="s">
        <v>65</v>
      </c>
      <c r="B18" t="s">
        <v>11</v>
      </c>
      <c r="C18" t="str">
        <f t="shared" si="0"/>
        <v>Solar</v>
      </c>
      <c r="F18" s="3" t="str">
        <f t="shared" si="1"/>
        <v>ELEBIO,ELECOA,ELEELC,ELEGAS,ELEHYD,ELENUC,ELEOIL,ELESOL</v>
      </c>
    </row>
    <row r="19" spans="1:6">
      <c r="A19" t="s">
        <v>62</v>
      </c>
      <c r="B19" t="s">
        <v>12</v>
      </c>
      <c r="C19" t="str">
        <f t="shared" si="0"/>
        <v>Wind</v>
      </c>
      <c r="F19" s="3" t="str">
        <f t="shared" si="1"/>
        <v>ELEBIO,ELECOA,ELEELC,ELEGAS,ELEHYD,ELENUC,ELEOIL,ELESOL,ELEWIN</v>
      </c>
    </row>
    <row r="20" spans="1:6">
      <c r="A20" t="s">
        <v>196</v>
      </c>
      <c r="B20" t="s">
        <v>196</v>
      </c>
      <c r="C20" t="str">
        <f t="shared" si="0"/>
        <v>V2G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766D8-7F73-4A5A-98A5-9C85D527817F}">
  <dimension ref="A1:F7"/>
  <sheetViews>
    <sheetView workbookViewId="0">
      <selection activeCell="A3" sqref="A3:B7"/>
    </sheetView>
  </sheetViews>
  <sheetFormatPr defaultRowHeight="15"/>
  <cols>
    <col min="1" max="1" width="11" bestFit="1" customWidth="1"/>
  </cols>
  <sheetData>
    <row r="1" spans="1:6">
      <c r="A1" s="1" t="s">
        <v>275</v>
      </c>
    </row>
    <row r="2" spans="1:6">
      <c r="A2" t="s">
        <v>276</v>
      </c>
      <c r="B2" t="s">
        <v>1</v>
      </c>
      <c r="C2" t="s">
        <v>27</v>
      </c>
    </row>
    <row r="3" spans="1:6">
      <c r="A3" t="s">
        <v>125</v>
      </c>
      <c r="B3" t="s">
        <v>162</v>
      </c>
      <c r="C3" t="str">
        <f>B3</f>
        <v>Elec</v>
      </c>
      <c r="F3" s="3" t="str">
        <f>A3</f>
        <v>NRG_ELC</v>
      </c>
    </row>
    <row r="4" spans="1:6">
      <c r="A4" t="s">
        <v>126</v>
      </c>
      <c r="B4" t="s">
        <v>5</v>
      </c>
      <c r="C4" t="str">
        <f t="shared" ref="C4:C7" si="0">B4</f>
        <v>Gas</v>
      </c>
      <c r="F4" s="3" t="str">
        <f>F3&amp;","&amp;A4</f>
        <v>NRG_ELC,NRG_GAS</v>
      </c>
    </row>
    <row r="5" spans="1:6">
      <c r="A5" t="s">
        <v>127</v>
      </c>
      <c r="B5" t="s">
        <v>10</v>
      </c>
      <c r="C5" t="str">
        <f t="shared" si="0"/>
        <v>Oil</v>
      </c>
      <c r="F5" s="3" t="str">
        <f>F4&amp;","&amp;A5</f>
        <v>NRG_ELC,NRG_GAS,NRG_OIL</v>
      </c>
    </row>
    <row r="6" spans="1:6">
      <c r="A6" t="s">
        <v>128</v>
      </c>
      <c r="B6" t="s">
        <v>163</v>
      </c>
      <c r="C6" t="str">
        <f t="shared" si="0"/>
        <v>Rnw</v>
      </c>
      <c r="F6" s="3" t="str">
        <f t="shared" ref="F6:F7" si="1">F5&amp;","&amp;A6</f>
        <v>NRG_ELC,NRG_GAS,NRG_OIL,NRG_RNW</v>
      </c>
    </row>
    <row r="7" spans="1:6">
      <c r="A7" t="s">
        <v>129</v>
      </c>
      <c r="B7" t="s">
        <v>164</v>
      </c>
      <c r="C7" t="str">
        <f t="shared" si="0"/>
        <v>Solid</v>
      </c>
      <c r="F7" s="3" t="str">
        <f t="shared" si="1"/>
        <v>NRG_ELC,NRG_GAS,NRG_OIL,NRG_RNW,NRG_SOLID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bestFit="1" customWidth="1"/>
    <col min="2" max="2" width="14.140625" bestFit="1" customWidth="1"/>
    <col min="3" max="3" width="36.42578125" bestFit="1" customWidth="1"/>
    <col min="6" max="6" width="11" bestFit="1" customWidth="1"/>
  </cols>
  <sheetData>
    <row r="1" spans="1:3">
      <c r="A1" s="1" t="s">
        <v>55</v>
      </c>
    </row>
    <row r="2" spans="1:3">
      <c r="A2" t="s">
        <v>56</v>
      </c>
      <c r="B2" t="s">
        <v>1</v>
      </c>
      <c r="C2" t="s">
        <v>27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57E82-8232-40A9-A839-CC5F79005B92}">
  <sheetPr codeName="Sheet3"/>
  <dimension ref="A1:D34"/>
  <sheetViews>
    <sheetView tabSelected="1" workbookViewId="0">
      <selection activeCell="G9" sqref="G9"/>
    </sheetView>
  </sheetViews>
  <sheetFormatPr defaultRowHeight="15"/>
  <cols>
    <col min="1" max="1" width="11.5703125" bestFit="1" customWidth="1"/>
    <col min="2" max="2" width="28.85546875" bestFit="1" customWidth="1"/>
    <col min="3" max="3" width="11.5703125" bestFit="1" customWidth="1"/>
    <col min="4" max="4" width="39" bestFit="1" customWidth="1"/>
  </cols>
  <sheetData>
    <row r="1" spans="1:4">
      <c r="A1" t="s">
        <v>158</v>
      </c>
    </row>
    <row r="2" spans="1:4">
      <c r="A2" t="s">
        <v>159</v>
      </c>
      <c r="B2" t="s">
        <v>160</v>
      </c>
      <c r="C2" t="s">
        <v>161</v>
      </c>
      <c r="D2" t="s">
        <v>293</v>
      </c>
    </row>
    <row r="3" spans="1:4">
      <c r="A3" t="s">
        <v>165</v>
      </c>
      <c r="B3" t="s">
        <v>162</v>
      </c>
      <c r="C3" t="s">
        <v>166</v>
      </c>
      <c r="D3" s="8" t="s">
        <v>949</v>
      </c>
    </row>
    <row r="4" spans="1:4">
      <c r="A4" t="s">
        <v>165</v>
      </c>
      <c r="B4" t="s">
        <v>5</v>
      </c>
      <c r="C4" t="s">
        <v>5</v>
      </c>
      <c r="D4" s="8" t="s">
        <v>950</v>
      </c>
    </row>
    <row r="5" spans="1:4">
      <c r="A5" t="s">
        <v>165</v>
      </c>
      <c r="B5" t="s">
        <v>10</v>
      </c>
      <c r="C5" t="s">
        <v>10</v>
      </c>
      <c r="D5" s="8" t="s">
        <v>951</v>
      </c>
    </row>
    <row r="6" spans="1:4">
      <c r="A6" t="s">
        <v>165</v>
      </c>
      <c r="B6" t="s">
        <v>163</v>
      </c>
      <c r="C6" t="s">
        <v>25</v>
      </c>
      <c r="D6" s="8" t="s">
        <v>952</v>
      </c>
    </row>
    <row r="7" spans="1:4">
      <c r="A7" t="s">
        <v>165</v>
      </c>
      <c r="B7" t="s">
        <v>164</v>
      </c>
      <c r="C7" t="s">
        <v>164</v>
      </c>
      <c r="D7" s="8" t="s">
        <v>953</v>
      </c>
    </row>
    <row r="8" spans="1:4">
      <c r="A8" t="s">
        <v>167</v>
      </c>
      <c r="B8" t="s">
        <v>26</v>
      </c>
      <c r="C8" t="str">
        <f>B8</f>
        <v>Agriculture</v>
      </c>
      <c r="D8" s="8" t="s">
        <v>954</v>
      </c>
    </row>
    <row r="9" spans="1:4">
      <c r="A9" t="s">
        <v>167</v>
      </c>
      <c r="B9" t="s">
        <v>15</v>
      </c>
      <c r="C9" t="str">
        <f t="shared" ref="C9:C13" si="0">B9</f>
        <v>Commercial</v>
      </c>
      <c r="D9" s="8" t="s">
        <v>955</v>
      </c>
    </row>
    <row r="10" spans="1:4">
      <c r="A10" t="s">
        <v>167</v>
      </c>
      <c r="B10" t="s">
        <v>168</v>
      </c>
      <c r="C10" t="s">
        <v>114</v>
      </c>
      <c r="D10" s="8" t="s">
        <v>956</v>
      </c>
    </row>
    <row r="11" spans="1:4">
      <c r="A11" t="s">
        <v>167</v>
      </c>
      <c r="B11" t="s">
        <v>6</v>
      </c>
      <c r="C11" t="str">
        <f t="shared" si="0"/>
        <v>Industry</v>
      </c>
      <c r="D11" s="8" t="s">
        <v>957</v>
      </c>
    </row>
    <row r="12" spans="1:4">
      <c r="A12" t="s">
        <v>167</v>
      </c>
      <c r="B12" t="s">
        <v>16</v>
      </c>
      <c r="C12" t="str">
        <f t="shared" si="0"/>
        <v>Residential</v>
      </c>
      <c r="D12" s="8" t="s">
        <v>958</v>
      </c>
    </row>
    <row r="13" spans="1:4">
      <c r="A13" t="s">
        <v>167</v>
      </c>
      <c r="B13" t="s">
        <v>7</v>
      </c>
      <c r="C13" t="str">
        <f t="shared" si="0"/>
        <v>Transport</v>
      </c>
      <c r="D13" s="8" t="s">
        <v>959</v>
      </c>
    </row>
    <row r="14" spans="1:4">
      <c r="A14" t="s">
        <v>181</v>
      </c>
      <c r="B14" t="s">
        <v>182</v>
      </c>
      <c r="C14" t="s">
        <v>183</v>
      </c>
      <c r="D14" s="8" t="s">
        <v>960</v>
      </c>
    </row>
    <row r="15" spans="1:4">
      <c r="A15" t="s">
        <v>181</v>
      </c>
      <c r="B15" t="s">
        <v>184</v>
      </c>
      <c r="C15" t="s">
        <v>185</v>
      </c>
      <c r="D15" s="8" t="s">
        <v>961</v>
      </c>
    </row>
    <row r="16" spans="1:4">
      <c r="A16" t="s">
        <v>181</v>
      </c>
      <c r="B16" t="s">
        <v>186</v>
      </c>
      <c r="C16" t="s">
        <v>187</v>
      </c>
      <c r="D16" s="8" t="s">
        <v>962</v>
      </c>
    </row>
    <row r="17" spans="1:4">
      <c r="A17" t="s">
        <v>181</v>
      </c>
      <c r="B17" t="s">
        <v>188</v>
      </c>
      <c r="C17" t="s">
        <v>189</v>
      </c>
      <c r="D17" s="8" t="s">
        <v>963</v>
      </c>
    </row>
    <row r="18" spans="1:4">
      <c r="A18" t="s">
        <v>181</v>
      </c>
      <c r="B18" t="s">
        <v>190</v>
      </c>
      <c r="C18" t="s">
        <v>191</v>
      </c>
      <c r="D18" s="8" t="s">
        <v>964</v>
      </c>
    </row>
    <row r="19" spans="1:4">
      <c r="A19" t="s">
        <v>181</v>
      </c>
      <c r="B19" t="s">
        <v>192</v>
      </c>
      <c r="C19" t="s">
        <v>191</v>
      </c>
      <c r="D19" s="8" t="s">
        <v>965</v>
      </c>
    </row>
    <row r="20" spans="1:4">
      <c r="A20" t="s">
        <v>181</v>
      </c>
      <c r="B20" t="s">
        <v>197</v>
      </c>
      <c r="C20" t="s">
        <v>114</v>
      </c>
      <c r="D20" s="8" t="s">
        <v>966</v>
      </c>
    </row>
    <row r="21" spans="1:4">
      <c r="A21" t="s">
        <v>181</v>
      </c>
      <c r="B21" t="s">
        <v>193</v>
      </c>
      <c r="C21" t="str">
        <f>B21</f>
        <v>LCOE</v>
      </c>
      <c r="D21" s="8" t="s">
        <v>967</v>
      </c>
    </row>
    <row r="22" spans="1:4">
      <c r="A22" t="s">
        <v>271</v>
      </c>
      <c r="B22" t="str">
        <f>"*[_]"&amp;C22</f>
        <v>*[_]Bio</v>
      </c>
      <c r="C22" t="s">
        <v>3</v>
      </c>
      <c r="D22" s="8" t="s">
        <v>968</v>
      </c>
    </row>
    <row r="23" spans="1:4">
      <c r="A23" t="s">
        <v>271</v>
      </c>
      <c r="B23" t="str">
        <f t="shared" ref="B23:B31" si="1">"*[_]"&amp;C23</f>
        <v>*[_]Coal</v>
      </c>
      <c r="C23" t="s">
        <v>4</v>
      </c>
      <c r="D23" s="8" t="s">
        <v>969</v>
      </c>
    </row>
    <row r="24" spans="1:4">
      <c r="A24" t="s">
        <v>271</v>
      </c>
      <c r="B24" t="str">
        <f t="shared" si="1"/>
        <v>*[_]Storage</v>
      </c>
      <c r="C24" t="s">
        <v>95</v>
      </c>
      <c r="D24" s="8" t="s">
        <v>970</v>
      </c>
    </row>
    <row r="25" spans="1:4">
      <c r="A25" t="s">
        <v>271</v>
      </c>
      <c r="B25" t="str">
        <f t="shared" si="1"/>
        <v>*[_]Gas</v>
      </c>
      <c r="C25" t="s">
        <v>5</v>
      </c>
      <c r="D25" s="8" t="s">
        <v>971</v>
      </c>
    </row>
    <row r="26" spans="1:4">
      <c r="A26" t="s">
        <v>271</v>
      </c>
      <c r="B26" t="str">
        <f t="shared" si="1"/>
        <v>*[_]Hydro</v>
      </c>
      <c r="C26" t="s">
        <v>8</v>
      </c>
      <c r="D26" s="8" t="s">
        <v>972</v>
      </c>
    </row>
    <row r="27" spans="1:4">
      <c r="A27" t="s">
        <v>271</v>
      </c>
      <c r="B27" t="str">
        <f t="shared" si="1"/>
        <v>*[_]Nuclear</v>
      </c>
      <c r="C27" t="s">
        <v>9</v>
      </c>
      <c r="D27" s="8" t="s">
        <v>973</v>
      </c>
    </row>
    <row r="28" spans="1:4">
      <c r="A28" t="s">
        <v>271</v>
      </c>
      <c r="B28" t="str">
        <f t="shared" si="1"/>
        <v>*[_]Oil</v>
      </c>
      <c r="C28" t="s">
        <v>10</v>
      </c>
      <c r="D28" s="8" t="s">
        <v>974</v>
      </c>
    </row>
    <row r="29" spans="1:4">
      <c r="A29" t="s">
        <v>271</v>
      </c>
      <c r="B29" t="str">
        <f t="shared" si="1"/>
        <v>*[_]Solar</v>
      </c>
      <c r="C29" t="s">
        <v>11</v>
      </c>
      <c r="D29" s="8" t="s">
        <v>975</v>
      </c>
    </row>
    <row r="30" spans="1:4">
      <c r="A30" t="s">
        <v>271</v>
      </c>
      <c r="B30" t="str">
        <f t="shared" si="1"/>
        <v>*[_]Wind</v>
      </c>
      <c r="C30" t="s">
        <v>12</v>
      </c>
      <c r="D30" s="8" t="s">
        <v>976</v>
      </c>
    </row>
    <row r="31" spans="1:4">
      <c r="A31" t="s">
        <v>271</v>
      </c>
      <c r="B31" t="str">
        <f t="shared" si="1"/>
        <v>*[_]V2G</v>
      </c>
      <c r="C31" t="s">
        <v>196</v>
      </c>
      <c r="D31" s="8" t="s">
        <v>977</v>
      </c>
    </row>
    <row r="32" spans="1:4">
      <c r="D32" s="8"/>
    </row>
    <row r="33" spans="4:4">
      <c r="D33" s="8"/>
    </row>
    <row r="34" spans="4:4">
      <c r="D34" s="8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DB714-E6AA-4E3E-B77B-62B65BA0E218}">
  <dimension ref="A1:H20"/>
  <sheetViews>
    <sheetView workbookViewId="0">
      <selection activeCell="H14" sqref="H14"/>
    </sheetView>
  </sheetViews>
  <sheetFormatPr defaultRowHeight="15"/>
  <cols>
    <col min="1" max="1" width="13.7109375" bestFit="1" customWidth="1"/>
    <col min="2" max="2" width="6" bestFit="1" customWidth="1"/>
    <col min="3" max="3" width="11.5703125" bestFit="1" customWidth="1"/>
    <col min="4" max="4" width="10.5703125" bestFit="1" customWidth="1"/>
  </cols>
  <sheetData>
    <row r="1" spans="1:8">
      <c r="A1" t="s">
        <v>266</v>
      </c>
    </row>
    <row r="2" spans="1:8">
      <c r="A2" t="s">
        <v>159</v>
      </c>
      <c r="B2" t="s">
        <v>160</v>
      </c>
      <c r="C2" t="s">
        <v>161</v>
      </c>
      <c r="D2" t="s">
        <v>267</v>
      </c>
      <c r="E2" t="s">
        <v>268</v>
      </c>
      <c r="F2" t="s">
        <v>269</v>
      </c>
      <c r="G2" t="s">
        <v>270</v>
      </c>
      <c r="H2" t="s">
        <v>293</v>
      </c>
    </row>
    <row r="3" spans="1:8">
      <c r="A3" t="s">
        <v>274</v>
      </c>
      <c r="C3" t="s">
        <v>26</v>
      </c>
      <c r="D3" t="s">
        <v>111</v>
      </c>
    </row>
    <row r="4" spans="1:8">
      <c r="A4" t="s">
        <v>274</v>
      </c>
      <c r="C4" t="s">
        <v>15</v>
      </c>
      <c r="D4" t="s">
        <v>112</v>
      </c>
      <c r="H4" t="s">
        <v>296</v>
      </c>
    </row>
    <row r="5" spans="1:8">
      <c r="A5" t="s">
        <v>274</v>
      </c>
      <c r="C5" t="s">
        <v>114</v>
      </c>
      <c r="D5" t="s">
        <v>113</v>
      </c>
    </row>
    <row r="6" spans="1:8">
      <c r="A6" t="s">
        <v>274</v>
      </c>
      <c r="C6" t="s">
        <v>6</v>
      </c>
      <c r="D6" t="s">
        <v>115</v>
      </c>
    </row>
    <row r="7" spans="1:8">
      <c r="A7" t="s">
        <v>274</v>
      </c>
      <c r="C7" t="s">
        <v>16</v>
      </c>
      <c r="D7" t="s">
        <v>116</v>
      </c>
    </row>
    <row r="8" spans="1:8">
      <c r="A8" t="s">
        <v>274</v>
      </c>
      <c r="C8" t="s">
        <v>7</v>
      </c>
      <c r="D8" t="s">
        <v>117</v>
      </c>
    </row>
    <row r="9" spans="1:8">
      <c r="A9" t="s">
        <v>274</v>
      </c>
      <c r="C9" t="s">
        <v>119</v>
      </c>
      <c r="D9" t="s">
        <v>118</v>
      </c>
    </row>
    <row r="10" spans="1:8">
      <c r="A10" t="s">
        <v>274</v>
      </c>
      <c r="C10" t="s">
        <v>121</v>
      </c>
      <c r="D10" t="s">
        <v>120</v>
      </c>
    </row>
    <row r="11" spans="1:8">
      <c r="A11" t="s">
        <v>273</v>
      </c>
      <c r="C11" t="s">
        <v>3</v>
      </c>
      <c r="D11" t="s">
        <v>82</v>
      </c>
    </row>
    <row r="12" spans="1:8">
      <c r="A12" t="s">
        <v>273</v>
      </c>
      <c r="C12" t="s">
        <v>4</v>
      </c>
      <c r="D12" t="s">
        <v>83</v>
      </c>
    </row>
    <row r="13" spans="1:8">
      <c r="A13" t="s">
        <v>273</v>
      </c>
      <c r="C13" t="s">
        <v>95</v>
      </c>
      <c r="D13" t="s">
        <v>122</v>
      </c>
      <c r="H13" t="s">
        <v>297</v>
      </c>
    </row>
    <row r="14" spans="1:8">
      <c r="A14" t="s">
        <v>273</v>
      </c>
      <c r="C14" t="s">
        <v>5</v>
      </c>
      <c r="D14" t="s">
        <v>84</v>
      </c>
    </row>
    <row r="15" spans="1:8">
      <c r="A15" t="s">
        <v>273</v>
      </c>
      <c r="C15" t="s">
        <v>8</v>
      </c>
      <c r="D15" t="s">
        <v>63</v>
      </c>
    </row>
    <row r="16" spans="1:8">
      <c r="A16" t="s">
        <v>273</v>
      </c>
      <c r="C16" t="s">
        <v>9</v>
      </c>
      <c r="D16" t="s">
        <v>64</v>
      </c>
    </row>
    <row r="17" spans="1:4">
      <c r="A17" t="s">
        <v>273</v>
      </c>
      <c r="C17" t="s">
        <v>10</v>
      </c>
      <c r="D17" t="s">
        <v>78</v>
      </c>
    </row>
    <row r="18" spans="1:4">
      <c r="A18" t="s">
        <v>273</v>
      </c>
      <c r="C18" t="s">
        <v>11</v>
      </c>
      <c r="D18" t="s">
        <v>65</v>
      </c>
    </row>
    <row r="19" spans="1:4">
      <c r="A19" t="s">
        <v>273</v>
      </c>
      <c r="C19" t="s">
        <v>12</v>
      </c>
      <c r="D19" t="s">
        <v>62</v>
      </c>
    </row>
    <row r="20" spans="1:4">
      <c r="A20" t="s">
        <v>273</v>
      </c>
      <c r="C20" t="s">
        <v>196</v>
      </c>
      <c r="D20" t="s">
        <v>196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245E1-8745-41DD-8AE6-2F4FA19D9F1C}">
  <dimension ref="A1:Q19"/>
  <sheetViews>
    <sheetView workbookViewId="0">
      <selection activeCell="I13" sqref="I13"/>
    </sheetView>
  </sheetViews>
  <sheetFormatPr defaultRowHeight="15"/>
  <cols>
    <col min="1" max="1" width="13.7109375" bestFit="1" customWidth="1"/>
    <col min="2" max="2" width="12.7109375" bestFit="1" customWidth="1"/>
    <col min="3" max="3" width="11" bestFit="1" customWidth="1"/>
    <col min="4" max="4" width="28.85546875" bestFit="1" customWidth="1"/>
    <col min="5" max="5" width="7.5703125" bestFit="1" customWidth="1"/>
    <col min="6" max="6" width="11.7109375" bestFit="1" customWidth="1"/>
    <col min="7" max="7" width="12.140625" bestFit="1" customWidth="1"/>
    <col min="8" max="8" width="12.28515625" bestFit="1" customWidth="1"/>
  </cols>
  <sheetData>
    <row r="1" spans="1:9">
      <c r="A1" t="s">
        <v>278</v>
      </c>
    </row>
    <row r="2" spans="1:9">
      <c r="A2" t="s">
        <v>159</v>
      </c>
      <c r="B2" t="s">
        <v>160</v>
      </c>
      <c r="C2" t="s">
        <v>161</v>
      </c>
      <c r="D2" t="s">
        <v>279</v>
      </c>
      <c r="E2" t="s">
        <v>280</v>
      </c>
      <c r="F2" t="s">
        <v>290</v>
      </c>
      <c r="G2" t="s">
        <v>289</v>
      </c>
      <c r="H2" t="s">
        <v>291</v>
      </c>
      <c r="I2" t="s">
        <v>293</v>
      </c>
    </row>
    <row r="3" spans="1:9">
      <c r="A3" t="s">
        <v>281</v>
      </c>
      <c r="C3" t="s">
        <v>162</v>
      </c>
      <c r="D3" t="s">
        <v>125</v>
      </c>
      <c r="I3" t="s">
        <v>294</v>
      </c>
    </row>
    <row r="4" spans="1:9">
      <c r="A4" t="s">
        <v>281</v>
      </c>
      <c r="C4" t="s">
        <v>5</v>
      </c>
      <c r="D4" t="s">
        <v>126</v>
      </c>
    </row>
    <row r="5" spans="1:9">
      <c r="A5" t="s">
        <v>281</v>
      </c>
      <c r="C5" t="s">
        <v>10</v>
      </c>
      <c r="D5" t="s">
        <v>127</v>
      </c>
    </row>
    <row r="6" spans="1:9">
      <c r="A6" t="s">
        <v>281</v>
      </c>
      <c r="C6" t="s">
        <v>163</v>
      </c>
      <c r="D6" t="s">
        <v>128</v>
      </c>
    </row>
    <row r="7" spans="1:9">
      <c r="A7" t="s">
        <v>281</v>
      </c>
      <c r="B7" t="s">
        <v>285</v>
      </c>
      <c r="C7" t="s">
        <v>284</v>
      </c>
      <c r="D7" t="s">
        <v>128</v>
      </c>
    </row>
    <row r="8" spans="1:9">
      <c r="A8" t="s">
        <v>281</v>
      </c>
      <c r="C8" t="s">
        <v>164</v>
      </c>
      <c r="D8" t="str">
        <f>D9</f>
        <v>NRG_SOLID</v>
      </c>
    </row>
    <row r="9" spans="1:9">
      <c r="A9" t="s">
        <v>281</v>
      </c>
      <c r="B9" t="s">
        <v>286</v>
      </c>
      <c r="C9" t="s">
        <v>3</v>
      </c>
      <c r="D9" t="s">
        <v>129</v>
      </c>
    </row>
    <row r="10" spans="1:9">
      <c r="A10" t="s">
        <v>282</v>
      </c>
      <c r="C10" t="s">
        <v>162</v>
      </c>
      <c r="D10" t="str">
        <f>D3</f>
        <v>NRG_ELC</v>
      </c>
    </row>
    <row r="11" spans="1:9">
      <c r="A11" t="s">
        <v>282</v>
      </c>
      <c r="B11" s="2" t="s">
        <v>288</v>
      </c>
      <c r="C11" t="s">
        <v>283</v>
      </c>
      <c r="D11" t="s">
        <v>287</v>
      </c>
    </row>
    <row r="12" spans="1:9">
      <c r="A12" t="s">
        <v>282</v>
      </c>
      <c r="B12" t="s">
        <v>286</v>
      </c>
      <c r="C12" t="s">
        <v>163</v>
      </c>
      <c r="D12" t="str">
        <f>D7</f>
        <v>NRG_RNW</v>
      </c>
      <c r="F12" t="s">
        <v>292</v>
      </c>
      <c r="I12" t="s">
        <v>295</v>
      </c>
    </row>
    <row r="19" spans="17:17">
      <c r="Q19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G3"/>
  <sheetViews>
    <sheetView workbookViewId="0">
      <selection activeCell="A3" sqref="A3:G14"/>
    </sheetView>
  </sheetViews>
  <sheetFormatPr defaultRowHeight="15"/>
  <cols>
    <col min="4" max="4" width="10.85546875" bestFit="1" customWidth="1"/>
  </cols>
  <sheetData>
    <row r="1" spans="1:7">
      <c r="A1" t="s">
        <v>103</v>
      </c>
    </row>
    <row r="2" spans="1:7">
      <c r="A2" t="s">
        <v>70</v>
      </c>
      <c r="B2" t="s">
        <v>24</v>
      </c>
      <c r="C2" t="s">
        <v>104</v>
      </c>
      <c r="D2" t="s">
        <v>14</v>
      </c>
      <c r="E2" t="s">
        <v>0</v>
      </c>
      <c r="F2" t="s">
        <v>105</v>
      </c>
      <c r="G2" t="s">
        <v>106</v>
      </c>
    </row>
    <row r="3" spans="1:7">
      <c r="F3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M59"/>
  <sheetViews>
    <sheetView zoomScaleNormal="100" workbookViewId="0"/>
  </sheetViews>
  <sheetFormatPr defaultRowHeight="15"/>
  <cols>
    <col min="1" max="1" width="10.140625" bestFit="1" customWidth="1"/>
    <col min="2" max="2" width="8.7109375" bestFit="1" customWidth="1"/>
    <col min="3" max="3" width="5.85546875" bestFit="1" customWidth="1"/>
    <col min="4" max="4" width="12" bestFit="1" customWidth="1"/>
    <col min="6" max="6" width="2" bestFit="1" customWidth="1"/>
    <col min="7" max="7" width="12.7109375" bestFit="1" customWidth="1"/>
    <col min="8" max="8" width="5" bestFit="1" customWidth="1"/>
    <col min="9" max="9" width="2" bestFit="1" customWidth="1"/>
    <col min="10" max="10" width="5" bestFit="1" customWidth="1"/>
  </cols>
  <sheetData>
    <row r="1" spans="1:13">
      <c r="A1" t="s">
        <v>69</v>
      </c>
    </row>
    <row r="2" spans="1:13">
      <c r="A2" t="s">
        <v>70</v>
      </c>
      <c r="B2" s="1" t="s">
        <v>71</v>
      </c>
      <c r="C2" s="1" t="s">
        <v>72</v>
      </c>
      <c r="D2" s="1" t="s">
        <v>73</v>
      </c>
    </row>
    <row r="3" spans="1:13">
      <c r="A3" t="s">
        <v>194</v>
      </c>
      <c r="B3" t="s">
        <v>195</v>
      </c>
      <c r="C3" t="s">
        <v>23</v>
      </c>
      <c r="D3">
        <f>1/31.536</f>
        <v>3.1709791983764585E-2</v>
      </c>
      <c r="K3" t="s">
        <v>29</v>
      </c>
      <c r="L3" t="s">
        <v>198</v>
      </c>
      <c r="M3" t="s">
        <v>199</v>
      </c>
    </row>
    <row r="4" spans="1:13">
      <c r="A4" t="s">
        <v>194</v>
      </c>
      <c r="B4" t="str">
        <f>L4</f>
        <v>FWkDD</v>
      </c>
      <c r="C4" t="s">
        <v>23</v>
      </c>
      <c r="D4">
        <f>1/31.536/M4</f>
        <v>0.35612535612535612</v>
      </c>
      <c r="K4" t="s">
        <v>200</v>
      </c>
      <c r="L4" t="s">
        <v>201</v>
      </c>
      <c r="M4">
        <v>8.9041095890410954E-2</v>
      </c>
    </row>
    <row r="5" spans="1:13">
      <c r="A5" t="s">
        <v>194</v>
      </c>
      <c r="B5" t="str">
        <f t="shared" ref="B5:B59" si="0">L5</f>
        <v>FWkDE</v>
      </c>
      <c r="C5" t="s">
        <v>23</v>
      </c>
      <c r="D5">
        <f t="shared" ref="D5:D59" si="1">1/31.536/M5</f>
        <v>1.4245014245014245</v>
      </c>
      <c r="K5" t="s">
        <v>200</v>
      </c>
      <c r="L5" t="s">
        <v>202</v>
      </c>
      <c r="M5">
        <v>2.2260273972602738E-2</v>
      </c>
    </row>
    <row r="6" spans="1:13">
      <c r="A6" t="s">
        <v>194</v>
      </c>
      <c r="B6" t="str">
        <f t="shared" si="0"/>
        <v>FWkDM</v>
      </c>
      <c r="C6" t="s">
        <v>23</v>
      </c>
      <c r="D6">
        <f t="shared" si="1"/>
        <v>1.4245014245014245</v>
      </c>
      <c r="K6" t="s">
        <v>200</v>
      </c>
      <c r="L6" t="s">
        <v>203</v>
      </c>
      <c r="M6">
        <v>2.2260273972602738E-2</v>
      </c>
    </row>
    <row r="7" spans="1:13">
      <c r="A7" t="s">
        <v>194</v>
      </c>
      <c r="B7" t="str">
        <f t="shared" si="0"/>
        <v>FWkDN</v>
      </c>
      <c r="C7" t="s">
        <v>23</v>
      </c>
      <c r="D7">
        <f t="shared" si="1"/>
        <v>0.71225071225071224</v>
      </c>
      <c r="K7" t="s">
        <v>200</v>
      </c>
      <c r="L7" t="s">
        <v>204</v>
      </c>
      <c r="M7">
        <v>4.4520547945205477E-2</v>
      </c>
    </row>
    <row r="8" spans="1:13">
      <c r="A8" t="s">
        <v>194</v>
      </c>
      <c r="B8" t="str">
        <f t="shared" si="0"/>
        <v>FWkED</v>
      </c>
      <c r="C8" t="s">
        <v>23</v>
      </c>
      <c r="D8">
        <f t="shared" si="1"/>
        <v>0.85733882030178321</v>
      </c>
      <c r="K8" t="s">
        <v>200</v>
      </c>
      <c r="L8" t="s">
        <v>205</v>
      </c>
      <c r="M8">
        <v>3.6986301369863014E-2</v>
      </c>
    </row>
    <row r="9" spans="1:13">
      <c r="A9" t="s">
        <v>194</v>
      </c>
      <c r="B9" t="str">
        <f t="shared" si="0"/>
        <v>FWkEE</v>
      </c>
      <c r="C9" t="s">
        <v>23</v>
      </c>
      <c r="D9">
        <f t="shared" si="1"/>
        <v>3.4293552812071328</v>
      </c>
      <c r="K9" t="s">
        <v>200</v>
      </c>
      <c r="L9" t="s">
        <v>206</v>
      </c>
      <c r="M9">
        <v>9.2465753424657536E-3</v>
      </c>
    </row>
    <row r="10" spans="1:13">
      <c r="A10" t="s">
        <v>194</v>
      </c>
      <c r="B10" t="str">
        <f t="shared" si="0"/>
        <v>FWkEM</v>
      </c>
      <c r="C10" t="s">
        <v>23</v>
      </c>
      <c r="D10">
        <f t="shared" si="1"/>
        <v>3.4293552812071328</v>
      </c>
      <c r="K10" t="s">
        <v>200</v>
      </c>
      <c r="L10" t="s">
        <v>207</v>
      </c>
      <c r="M10">
        <v>9.2465753424657536E-3</v>
      </c>
    </row>
    <row r="11" spans="1:13">
      <c r="A11" t="s">
        <v>194</v>
      </c>
      <c r="B11" t="str">
        <f t="shared" si="0"/>
        <v>FWkEN</v>
      </c>
      <c r="C11" t="s">
        <v>23</v>
      </c>
      <c r="D11">
        <f t="shared" si="1"/>
        <v>1.7146776406035664</v>
      </c>
      <c r="K11" t="s">
        <v>200</v>
      </c>
      <c r="L11" t="s">
        <v>208</v>
      </c>
      <c r="M11">
        <v>1.8493150684931507E-2</v>
      </c>
    </row>
    <row r="12" spans="1:13">
      <c r="A12" t="s">
        <v>194</v>
      </c>
      <c r="B12" t="str">
        <f t="shared" si="0"/>
        <v>RWkDD</v>
      </c>
      <c r="C12" t="s">
        <v>23</v>
      </c>
      <c r="D12">
        <f t="shared" si="1"/>
        <v>0.26304713804713803</v>
      </c>
      <c r="K12" t="s">
        <v>200</v>
      </c>
      <c r="L12" t="s">
        <v>209</v>
      </c>
      <c r="M12">
        <v>0.12054794520547946</v>
      </c>
    </row>
    <row r="13" spans="1:13">
      <c r="A13" t="s">
        <v>194</v>
      </c>
      <c r="B13" t="str">
        <f t="shared" si="0"/>
        <v>RWkDE</v>
      </c>
      <c r="C13" t="s">
        <v>23</v>
      </c>
      <c r="D13">
        <f t="shared" si="1"/>
        <v>1.0521885521885521</v>
      </c>
      <c r="K13" t="s">
        <v>200</v>
      </c>
      <c r="L13" t="s">
        <v>210</v>
      </c>
      <c r="M13">
        <v>3.0136986301369864E-2</v>
      </c>
    </row>
    <row r="14" spans="1:13">
      <c r="A14" t="s">
        <v>194</v>
      </c>
      <c r="B14" t="str">
        <f t="shared" si="0"/>
        <v>RWkDM</v>
      </c>
      <c r="C14" t="s">
        <v>23</v>
      </c>
      <c r="D14">
        <f t="shared" si="1"/>
        <v>1.0521885521885521</v>
      </c>
      <c r="K14" t="s">
        <v>200</v>
      </c>
      <c r="L14" t="s">
        <v>211</v>
      </c>
      <c r="M14">
        <v>3.0136986301369864E-2</v>
      </c>
    </row>
    <row r="15" spans="1:13">
      <c r="A15" t="s">
        <v>194</v>
      </c>
      <c r="B15" t="str">
        <f t="shared" si="0"/>
        <v>RWkDN</v>
      </c>
      <c r="C15" t="s">
        <v>23</v>
      </c>
      <c r="D15">
        <f t="shared" si="1"/>
        <v>0.52609427609427606</v>
      </c>
      <c r="K15" t="s">
        <v>200</v>
      </c>
      <c r="L15" t="s">
        <v>212</v>
      </c>
      <c r="M15">
        <v>6.0273972602739728E-2</v>
      </c>
    </row>
    <row r="16" spans="1:13">
      <c r="A16" t="s">
        <v>194</v>
      </c>
      <c r="B16" t="str">
        <f t="shared" si="0"/>
        <v>RWkED</v>
      </c>
      <c r="C16" t="s">
        <v>23</v>
      </c>
      <c r="D16">
        <f t="shared" si="1"/>
        <v>0.68082788671023953</v>
      </c>
      <c r="K16" t="s">
        <v>200</v>
      </c>
      <c r="L16" t="s">
        <v>213</v>
      </c>
      <c r="M16">
        <v>4.6575342465753428E-2</v>
      </c>
    </row>
    <row r="17" spans="1:13">
      <c r="A17" t="s">
        <v>194</v>
      </c>
      <c r="B17" t="str">
        <f t="shared" si="0"/>
        <v>RWkEE</v>
      </c>
      <c r="C17" t="s">
        <v>23</v>
      </c>
      <c r="D17">
        <f t="shared" si="1"/>
        <v>2.7233115468409581</v>
      </c>
      <c r="K17" t="s">
        <v>200</v>
      </c>
      <c r="L17" t="s">
        <v>214</v>
      </c>
      <c r="M17">
        <v>1.1643835616438357E-2</v>
      </c>
    </row>
    <row r="18" spans="1:13">
      <c r="A18" t="s">
        <v>194</v>
      </c>
      <c r="B18" t="str">
        <f t="shared" si="0"/>
        <v>RWkEM</v>
      </c>
      <c r="C18" t="s">
        <v>23</v>
      </c>
      <c r="D18">
        <f t="shared" si="1"/>
        <v>2.7233115468409581</v>
      </c>
      <c r="K18" t="s">
        <v>200</v>
      </c>
      <c r="L18" t="s">
        <v>215</v>
      </c>
      <c r="M18">
        <v>1.1643835616438357E-2</v>
      </c>
    </row>
    <row r="19" spans="1:13">
      <c r="A19" t="s">
        <v>194</v>
      </c>
      <c r="B19" t="str">
        <f t="shared" si="0"/>
        <v>RWkEN</v>
      </c>
      <c r="C19" t="s">
        <v>23</v>
      </c>
      <c r="D19">
        <f t="shared" si="1"/>
        <v>1.3616557734204791</v>
      </c>
      <c r="K19" t="s">
        <v>200</v>
      </c>
      <c r="L19" t="s">
        <v>216</v>
      </c>
      <c r="M19">
        <v>2.3287671232876714E-2</v>
      </c>
    </row>
    <row r="20" spans="1:13">
      <c r="A20" t="s">
        <v>194</v>
      </c>
      <c r="B20" t="str">
        <f t="shared" si="0"/>
        <v>SWkDD</v>
      </c>
      <c r="C20" t="s">
        <v>23</v>
      </c>
      <c r="D20">
        <f t="shared" si="1"/>
        <v>0.35612535612535612</v>
      </c>
      <c r="K20" t="s">
        <v>200</v>
      </c>
      <c r="L20" t="s">
        <v>217</v>
      </c>
      <c r="M20">
        <v>8.9041095890410954E-2</v>
      </c>
    </row>
    <row r="21" spans="1:13">
      <c r="A21" t="s">
        <v>194</v>
      </c>
      <c r="B21" t="str">
        <f t="shared" si="0"/>
        <v>SWkDE</v>
      </c>
      <c r="C21" t="s">
        <v>23</v>
      </c>
      <c r="D21">
        <f t="shared" si="1"/>
        <v>1.4245014245014245</v>
      </c>
      <c r="K21" t="s">
        <v>200</v>
      </c>
      <c r="L21" t="s">
        <v>218</v>
      </c>
      <c r="M21">
        <v>2.2260273972602738E-2</v>
      </c>
    </row>
    <row r="22" spans="1:13">
      <c r="A22" t="s">
        <v>194</v>
      </c>
      <c r="B22" t="str">
        <f t="shared" si="0"/>
        <v>SOdH00</v>
      </c>
      <c r="C22" t="s">
        <v>23</v>
      </c>
      <c r="D22">
        <f t="shared" si="1"/>
        <v>277.77777777777777</v>
      </c>
      <c r="K22" t="s">
        <v>200</v>
      </c>
      <c r="L22" t="s">
        <v>219</v>
      </c>
      <c r="M22">
        <v>1.1415525114155251E-4</v>
      </c>
    </row>
    <row r="23" spans="1:13">
      <c r="A23" t="s">
        <v>194</v>
      </c>
      <c r="B23" t="str">
        <f t="shared" si="0"/>
        <v>SOdH01</v>
      </c>
      <c r="C23" t="s">
        <v>23</v>
      </c>
      <c r="D23">
        <f t="shared" si="1"/>
        <v>277.77777777777777</v>
      </c>
      <c r="K23" t="s">
        <v>200</v>
      </c>
      <c r="L23" t="s">
        <v>220</v>
      </c>
      <c r="M23">
        <v>1.1415525114155251E-4</v>
      </c>
    </row>
    <row r="24" spans="1:13">
      <c r="A24" t="s">
        <v>194</v>
      </c>
      <c r="B24" t="str">
        <f t="shared" si="0"/>
        <v>SOdH02</v>
      </c>
      <c r="C24" t="s">
        <v>23</v>
      </c>
      <c r="D24">
        <f t="shared" si="1"/>
        <v>277.77777777777777</v>
      </c>
      <c r="K24" t="s">
        <v>200</v>
      </c>
      <c r="L24" t="s">
        <v>221</v>
      </c>
      <c r="M24">
        <v>1.1415525114155251E-4</v>
      </c>
    </row>
    <row r="25" spans="1:13">
      <c r="A25" t="s">
        <v>194</v>
      </c>
      <c r="B25" t="str">
        <f t="shared" si="0"/>
        <v>SOdH03</v>
      </c>
      <c r="C25" t="s">
        <v>23</v>
      </c>
      <c r="D25">
        <f t="shared" si="1"/>
        <v>277.77777777777777</v>
      </c>
      <c r="K25" t="s">
        <v>200</v>
      </c>
      <c r="L25" t="s">
        <v>222</v>
      </c>
      <c r="M25">
        <v>1.1415525114155251E-4</v>
      </c>
    </row>
    <row r="26" spans="1:13">
      <c r="A26" t="s">
        <v>194</v>
      </c>
      <c r="B26" t="str">
        <f t="shared" si="0"/>
        <v>SOdH04</v>
      </c>
      <c r="C26" t="s">
        <v>23</v>
      </c>
      <c r="D26">
        <f t="shared" si="1"/>
        <v>277.77777777777777</v>
      </c>
      <c r="K26" t="s">
        <v>200</v>
      </c>
      <c r="L26" t="s">
        <v>223</v>
      </c>
      <c r="M26">
        <v>1.1415525114155251E-4</v>
      </c>
    </row>
    <row r="27" spans="1:13">
      <c r="A27" t="s">
        <v>194</v>
      </c>
      <c r="B27" t="str">
        <f t="shared" si="0"/>
        <v>SOdH05</v>
      </c>
      <c r="C27" t="s">
        <v>23</v>
      </c>
      <c r="D27">
        <f t="shared" si="1"/>
        <v>277.77777777777777</v>
      </c>
      <c r="K27" t="s">
        <v>200</v>
      </c>
      <c r="L27" t="s">
        <v>224</v>
      </c>
      <c r="M27">
        <v>1.1415525114155251E-4</v>
      </c>
    </row>
    <row r="28" spans="1:13">
      <c r="A28" t="s">
        <v>194</v>
      </c>
      <c r="B28" t="str">
        <f t="shared" si="0"/>
        <v>SOdH06</v>
      </c>
      <c r="C28" t="s">
        <v>23</v>
      </c>
      <c r="D28">
        <f t="shared" si="1"/>
        <v>277.77777777777777</v>
      </c>
      <c r="K28" t="s">
        <v>200</v>
      </c>
      <c r="L28" t="s">
        <v>225</v>
      </c>
      <c r="M28">
        <v>1.1415525114155251E-4</v>
      </c>
    </row>
    <row r="29" spans="1:13">
      <c r="A29" t="s">
        <v>194</v>
      </c>
      <c r="B29" t="str">
        <f t="shared" si="0"/>
        <v>SOdH07</v>
      </c>
      <c r="C29" t="s">
        <v>23</v>
      </c>
      <c r="D29">
        <f t="shared" si="1"/>
        <v>277.77777777777777</v>
      </c>
      <c r="K29" t="s">
        <v>200</v>
      </c>
      <c r="L29" t="s">
        <v>226</v>
      </c>
      <c r="M29">
        <v>1.1415525114155251E-4</v>
      </c>
    </row>
    <row r="30" spans="1:13">
      <c r="A30" t="s">
        <v>194</v>
      </c>
      <c r="B30" t="str">
        <f t="shared" si="0"/>
        <v>SOdH08</v>
      </c>
      <c r="C30" t="s">
        <v>23</v>
      </c>
      <c r="D30">
        <f t="shared" si="1"/>
        <v>277.77777777777777</v>
      </c>
      <c r="K30" t="s">
        <v>200</v>
      </c>
      <c r="L30" t="s">
        <v>227</v>
      </c>
      <c r="M30">
        <v>1.1415525114155251E-4</v>
      </c>
    </row>
    <row r="31" spans="1:13">
      <c r="A31" t="s">
        <v>194</v>
      </c>
      <c r="B31" t="str">
        <f t="shared" si="0"/>
        <v>SOdH09</v>
      </c>
      <c r="C31" t="s">
        <v>23</v>
      </c>
      <c r="D31">
        <f t="shared" si="1"/>
        <v>277.77777777777777</v>
      </c>
      <c r="K31" t="s">
        <v>200</v>
      </c>
      <c r="L31" t="s">
        <v>228</v>
      </c>
      <c r="M31">
        <v>1.1415525114155251E-4</v>
      </c>
    </row>
    <row r="32" spans="1:13">
      <c r="A32" t="s">
        <v>194</v>
      </c>
      <c r="B32" t="str">
        <f t="shared" si="0"/>
        <v>SOdH10</v>
      </c>
      <c r="C32" t="s">
        <v>23</v>
      </c>
      <c r="D32">
        <f t="shared" si="1"/>
        <v>277.77777777777777</v>
      </c>
      <c r="K32" t="s">
        <v>200</v>
      </c>
      <c r="L32" t="s">
        <v>229</v>
      </c>
      <c r="M32">
        <v>1.1415525114155251E-4</v>
      </c>
    </row>
    <row r="33" spans="1:13">
      <c r="A33" t="s">
        <v>194</v>
      </c>
      <c r="B33" t="str">
        <f t="shared" si="0"/>
        <v>SOdH11</v>
      </c>
      <c r="C33" t="s">
        <v>23</v>
      </c>
      <c r="D33">
        <f t="shared" si="1"/>
        <v>277.77777777777777</v>
      </c>
      <c r="K33" t="s">
        <v>200</v>
      </c>
      <c r="L33" t="s">
        <v>230</v>
      </c>
      <c r="M33">
        <v>1.1415525114155251E-4</v>
      </c>
    </row>
    <row r="34" spans="1:13">
      <c r="A34" t="s">
        <v>194</v>
      </c>
      <c r="B34" t="str">
        <f t="shared" si="0"/>
        <v>SOdH12</v>
      </c>
      <c r="C34" t="s">
        <v>23</v>
      </c>
      <c r="D34">
        <f t="shared" si="1"/>
        <v>277.77777777777777</v>
      </c>
      <c r="K34" t="s">
        <v>200</v>
      </c>
      <c r="L34" t="s">
        <v>231</v>
      </c>
      <c r="M34">
        <v>1.1415525114155251E-4</v>
      </c>
    </row>
    <row r="35" spans="1:13">
      <c r="A35" t="s">
        <v>194</v>
      </c>
      <c r="B35" t="str">
        <f t="shared" si="0"/>
        <v>SOdH13</v>
      </c>
      <c r="C35" t="s">
        <v>23</v>
      </c>
      <c r="D35">
        <f t="shared" si="1"/>
        <v>277.77777777777777</v>
      </c>
      <c r="K35" t="s">
        <v>200</v>
      </c>
      <c r="L35" t="s">
        <v>232</v>
      </c>
      <c r="M35">
        <v>1.1415525114155251E-4</v>
      </c>
    </row>
    <row r="36" spans="1:13">
      <c r="A36" t="s">
        <v>194</v>
      </c>
      <c r="B36" t="str">
        <f t="shared" si="0"/>
        <v>SOdH14</v>
      </c>
      <c r="C36" t="s">
        <v>23</v>
      </c>
      <c r="D36">
        <f t="shared" si="1"/>
        <v>277.77777777777777</v>
      </c>
      <c r="K36" t="s">
        <v>200</v>
      </c>
      <c r="L36" t="s">
        <v>233</v>
      </c>
      <c r="M36">
        <v>1.1415525114155251E-4</v>
      </c>
    </row>
    <row r="37" spans="1:13">
      <c r="A37" t="s">
        <v>194</v>
      </c>
      <c r="B37" t="str">
        <f t="shared" si="0"/>
        <v>SOdH15</v>
      </c>
      <c r="C37" t="s">
        <v>23</v>
      </c>
      <c r="D37">
        <f t="shared" si="1"/>
        <v>277.77777777777777</v>
      </c>
      <c r="K37" t="s">
        <v>200</v>
      </c>
      <c r="L37" t="s">
        <v>234</v>
      </c>
      <c r="M37">
        <v>1.1415525114155251E-4</v>
      </c>
    </row>
    <row r="38" spans="1:13">
      <c r="A38" t="s">
        <v>194</v>
      </c>
      <c r="B38" t="str">
        <f t="shared" si="0"/>
        <v>SOdH16</v>
      </c>
      <c r="C38" t="s">
        <v>23</v>
      </c>
      <c r="D38">
        <f t="shared" si="1"/>
        <v>277.77777777777777</v>
      </c>
      <c r="K38" t="s">
        <v>200</v>
      </c>
      <c r="L38" t="s">
        <v>235</v>
      </c>
      <c r="M38">
        <v>1.1415525114155251E-4</v>
      </c>
    </row>
    <row r="39" spans="1:13">
      <c r="A39" t="s">
        <v>194</v>
      </c>
      <c r="B39" t="str">
        <f t="shared" si="0"/>
        <v>SOdH17</v>
      </c>
      <c r="C39" t="s">
        <v>23</v>
      </c>
      <c r="D39">
        <f t="shared" si="1"/>
        <v>277.77777777777777</v>
      </c>
      <c r="K39" t="s">
        <v>200</v>
      </c>
      <c r="L39" t="s">
        <v>236</v>
      </c>
      <c r="M39">
        <v>1.1415525114155251E-4</v>
      </c>
    </row>
    <row r="40" spans="1:13">
      <c r="A40" t="s">
        <v>194</v>
      </c>
      <c r="B40" t="str">
        <f t="shared" si="0"/>
        <v>SOdH18</v>
      </c>
      <c r="C40" t="s">
        <v>23</v>
      </c>
      <c r="D40">
        <f t="shared" si="1"/>
        <v>277.77777777777777</v>
      </c>
      <c r="K40" t="s">
        <v>200</v>
      </c>
      <c r="L40" t="s">
        <v>237</v>
      </c>
      <c r="M40">
        <v>1.1415525114155251E-4</v>
      </c>
    </row>
    <row r="41" spans="1:13">
      <c r="A41" t="s">
        <v>194</v>
      </c>
      <c r="B41" t="str">
        <f t="shared" si="0"/>
        <v>SOdH19</v>
      </c>
      <c r="C41" t="s">
        <v>23</v>
      </c>
      <c r="D41">
        <f t="shared" si="1"/>
        <v>277.77777777777777</v>
      </c>
      <c r="K41" t="s">
        <v>200</v>
      </c>
      <c r="L41" t="s">
        <v>238</v>
      </c>
      <c r="M41">
        <v>1.1415525114155251E-4</v>
      </c>
    </row>
    <row r="42" spans="1:13">
      <c r="A42" t="s">
        <v>194</v>
      </c>
      <c r="B42" t="str">
        <f t="shared" si="0"/>
        <v>SOdH20</v>
      </c>
      <c r="C42" t="s">
        <v>23</v>
      </c>
      <c r="D42">
        <f t="shared" si="1"/>
        <v>277.77777777777777</v>
      </c>
      <c r="K42" t="s">
        <v>200</v>
      </c>
      <c r="L42" t="s">
        <v>239</v>
      </c>
      <c r="M42">
        <v>1.1415525114155251E-4</v>
      </c>
    </row>
    <row r="43" spans="1:13">
      <c r="A43" t="s">
        <v>194</v>
      </c>
      <c r="B43" t="str">
        <f t="shared" si="0"/>
        <v>SOdH21</v>
      </c>
      <c r="C43" t="s">
        <v>23</v>
      </c>
      <c r="D43">
        <f t="shared" si="1"/>
        <v>277.77777777777777</v>
      </c>
      <c r="K43" t="s">
        <v>200</v>
      </c>
      <c r="L43" t="s">
        <v>240</v>
      </c>
      <c r="M43">
        <v>1.1415525114155251E-4</v>
      </c>
    </row>
    <row r="44" spans="1:13">
      <c r="A44" t="s">
        <v>194</v>
      </c>
      <c r="B44" t="str">
        <f t="shared" si="0"/>
        <v>SOdH22</v>
      </c>
      <c r="C44" t="s">
        <v>23</v>
      </c>
      <c r="D44">
        <f t="shared" si="1"/>
        <v>277.77777777777777</v>
      </c>
      <c r="K44" t="s">
        <v>200</v>
      </c>
      <c r="L44" t="s">
        <v>241</v>
      </c>
      <c r="M44">
        <v>1.1415525114155251E-4</v>
      </c>
    </row>
    <row r="45" spans="1:13">
      <c r="A45" t="s">
        <v>194</v>
      </c>
      <c r="B45" t="str">
        <f t="shared" si="0"/>
        <v>SOdH23</v>
      </c>
      <c r="C45" t="s">
        <v>23</v>
      </c>
      <c r="D45">
        <f t="shared" si="1"/>
        <v>277.77777777777777</v>
      </c>
      <c r="K45" t="s">
        <v>200</v>
      </c>
      <c r="L45" t="s">
        <v>242</v>
      </c>
      <c r="M45">
        <v>1.1415525114155251E-4</v>
      </c>
    </row>
    <row r="46" spans="1:13">
      <c r="A46" t="s">
        <v>194</v>
      </c>
      <c r="B46" t="str">
        <f t="shared" si="0"/>
        <v>SWkDM</v>
      </c>
      <c r="C46" t="s">
        <v>23</v>
      </c>
      <c r="D46">
        <f t="shared" si="1"/>
        <v>1.4245014245014245</v>
      </c>
      <c r="K46" t="s">
        <v>200</v>
      </c>
      <c r="L46" t="s">
        <v>243</v>
      </c>
      <c r="M46">
        <v>2.2260273972602738E-2</v>
      </c>
    </row>
    <row r="47" spans="1:13">
      <c r="A47" t="s">
        <v>194</v>
      </c>
      <c r="B47" t="str">
        <f t="shared" si="0"/>
        <v>SWkDN</v>
      </c>
      <c r="C47" t="s">
        <v>23</v>
      </c>
      <c r="D47">
        <f t="shared" si="1"/>
        <v>0.71225071225071224</v>
      </c>
      <c r="K47" t="s">
        <v>200</v>
      </c>
      <c r="L47" t="s">
        <v>244</v>
      </c>
      <c r="M47">
        <v>4.4520547945205477E-2</v>
      </c>
    </row>
    <row r="48" spans="1:13">
      <c r="A48" t="s">
        <v>194</v>
      </c>
      <c r="B48" t="str">
        <f t="shared" si="0"/>
        <v>SWkED</v>
      </c>
      <c r="C48" t="s">
        <v>23</v>
      </c>
      <c r="D48">
        <f t="shared" si="1"/>
        <v>0.8903133903133903</v>
      </c>
      <c r="K48" t="s">
        <v>200</v>
      </c>
      <c r="L48" t="s">
        <v>245</v>
      </c>
      <c r="M48">
        <v>3.5616438356164383E-2</v>
      </c>
    </row>
    <row r="49" spans="1:13">
      <c r="A49" t="s">
        <v>194</v>
      </c>
      <c r="B49" t="str">
        <f t="shared" si="0"/>
        <v>SWkEE</v>
      </c>
      <c r="C49" t="s">
        <v>23</v>
      </c>
      <c r="D49">
        <f t="shared" si="1"/>
        <v>3.5612535612535612</v>
      </c>
      <c r="K49" t="s">
        <v>200</v>
      </c>
      <c r="L49" t="s">
        <v>246</v>
      </c>
      <c r="M49">
        <v>8.9041095890410957E-3</v>
      </c>
    </row>
    <row r="50" spans="1:13">
      <c r="A50" t="s">
        <v>194</v>
      </c>
      <c r="B50" t="str">
        <f t="shared" si="0"/>
        <v>SWkEM</v>
      </c>
      <c r="C50" t="s">
        <v>23</v>
      </c>
      <c r="D50">
        <f t="shared" si="1"/>
        <v>3.5612535612535612</v>
      </c>
      <c r="K50" t="s">
        <v>200</v>
      </c>
      <c r="L50" t="s">
        <v>247</v>
      </c>
      <c r="M50">
        <v>8.9041095890410957E-3</v>
      </c>
    </row>
    <row r="51" spans="1:13">
      <c r="A51" t="s">
        <v>194</v>
      </c>
      <c r="B51" t="str">
        <f t="shared" si="0"/>
        <v>SWkEN</v>
      </c>
      <c r="C51" t="s">
        <v>23</v>
      </c>
      <c r="D51">
        <f t="shared" si="1"/>
        <v>1.7806267806267806</v>
      </c>
      <c r="K51" t="s">
        <v>200</v>
      </c>
      <c r="L51" t="s">
        <v>248</v>
      </c>
      <c r="M51">
        <v>1.7808219178082191E-2</v>
      </c>
    </row>
    <row r="52" spans="1:13">
      <c r="A52" t="s">
        <v>194</v>
      </c>
      <c r="B52" t="str">
        <f t="shared" si="0"/>
        <v>WWkDD</v>
      </c>
      <c r="C52" t="s">
        <v>23</v>
      </c>
      <c r="D52">
        <f t="shared" si="1"/>
        <v>0.55114638447971775</v>
      </c>
      <c r="K52" t="s">
        <v>200</v>
      </c>
      <c r="L52" t="s">
        <v>249</v>
      </c>
      <c r="M52">
        <v>5.7534246575342465E-2</v>
      </c>
    </row>
    <row r="53" spans="1:13">
      <c r="A53" t="s">
        <v>194</v>
      </c>
      <c r="B53" t="str">
        <f t="shared" si="0"/>
        <v>WWkDE</v>
      </c>
      <c r="C53" t="s">
        <v>23</v>
      </c>
      <c r="D53">
        <f t="shared" si="1"/>
        <v>2.204585537918871</v>
      </c>
      <c r="K53" t="s">
        <v>200</v>
      </c>
      <c r="L53" t="s">
        <v>250</v>
      </c>
      <c r="M53">
        <v>1.4383561643835616E-2</v>
      </c>
    </row>
    <row r="54" spans="1:13">
      <c r="A54" t="s">
        <v>194</v>
      </c>
      <c r="B54" t="str">
        <f t="shared" si="0"/>
        <v>WWkDM</v>
      </c>
      <c r="C54" t="s">
        <v>23</v>
      </c>
      <c r="D54">
        <f t="shared" si="1"/>
        <v>2.204585537918871</v>
      </c>
      <c r="K54" t="s">
        <v>200</v>
      </c>
      <c r="L54" t="s">
        <v>251</v>
      </c>
      <c r="M54">
        <v>1.4383561643835616E-2</v>
      </c>
    </row>
    <row r="55" spans="1:13">
      <c r="A55" t="s">
        <v>194</v>
      </c>
      <c r="B55" t="str">
        <f t="shared" si="0"/>
        <v>WWkDN</v>
      </c>
      <c r="C55" t="s">
        <v>23</v>
      </c>
      <c r="D55">
        <f t="shared" si="1"/>
        <v>1.1022927689594355</v>
      </c>
      <c r="K55" t="s">
        <v>200</v>
      </c>
      <c r="L55" t="s">
        <v>252</v>
      </c>
      <c r="M55">
        <v>2.8767123287671233E-2</v>
      </c>
    </row>
    <row r="56" spans="1:13">
      <c r="A56" t="s">
        <v>194</v>
      </c>
      <c r="B56" t="str">
        <f t="shared" si="0"/>
        <v>WWkED</v>
      </c>
      <c r="C56" t="s">
        <v>23</v>
      </c>
      <c r="D56">
        <f t="shared" si="1"/>
        <v>1.3616557734204791</v>
      </c>
      <c r="K56" t="s">
        <v>200</v>
      </c>
      <c r="L56" t="s">
        <v>253</v>
      </c>
      <c r="M56">
        <v>2.3287671232876714E-2</v>
      </c>
    </row>
    <row r="57" spans="1:13">
      <c r="A57" t="s">
        <v>194</v>
      </c>
      <c r="B57" t="str">
        <f t="shared" si="0"/>
        <v>WWkEE</v>
      </c>
      <c r="C57" t="s">
        <v>23</v>
      </c>
      <c r="D57">
        <f t="shared" si="1"/>
        <v>5.4466230936819162</v>
      </c>
      <c r="K57" t="s">
        <v>200</v>
      </c>
      <c r="L57" t="s">
        <v>254</v>
      </c>
      <c r="M57">
        <v>5.8219178082191785E-3</v>
      </c>
    </row>
    <row r="58" spans="1:13">
      <c r="A58" t="s">
        <v>194</v>
      </c>
      <c r="B58" t="str">
        <f t="shared" si="0"/>
        <v>WWkEM</v>
      </c>
      <c r="C58" t="s">
        <v>23</v>
      </c>
      <c r="D58">
        <f t="shared" si="1"/>
        <v>5.4466230936819162</v>
      </c>
      <c r="K58" t="s">
        <v>200</v>
      </c>
      <c r="L58" t="s">
        <v>255</v>
      </c>
      <c r="M58">
        <v>5.8219178082191785E-3</v>
      </c>
    </row>
    <row r="59" spans="1:13">
      <c r="A59" t="s">
        <v>194</v>
      </c>
      <c r="B59" t="str">
        <f t="shared" si="0"/>
        <v>WWkEN</v>
      </c>
      <c r="C59" t="s">
        <v>23</v>
      </c>
      <c r="D59">
        <f t="shared" si="1"/>
        <v>2.7233115468409581</v>
      </c>
      <c r="K59" t="s">
        <v>200</v>
      </c>
      <c r="L59" t="s">
        <v>256</v>
      </c>
      <c r="M59">
        <v>1.1643835616438357E-2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8DD95-01C6-4C3F-AFE7-1A9F8F96376A}">
  <dimension ref="A1:P84"/>
  <sheetViews>
    <sheetView workbookViewId="0">
      <selection activeCell="Q7" sqref="Q7"/>
    </sheetView>
  </sheetViews>
  <sheetFormatPr defaultRowHeight="15"/>
  <sheetData>
    <row r="1" spans="1:16">
      <c r="A1" t="s">
        <v>298</v>
      </c>
    </row>
    <row r="2" spans="1:16">
      <c r="A2" t="s">
        <v>160</v>
      </c>
      <c r="B2" t="s">
        <v>299</v>
      </c>
      <c r="C2" t="s">
        <v>300</v>
      </c>
      <c r="D2" t="s">
        <v>301</v>
      </c>
      <c r="E2" t="s">
        <v>302</v>
      </c>
      <c r="F2" t="s">
        <v>303</v>
      </c>
      <c r="G2" t="s">
        <v>304</v>
      </c>
      <c r="H2" t="s">
        <v>305</v>
      </c>
      <c r="I2" t="s">
        <v>306</v>
      </c>
    </row>
    <row r="3" spans="1:16">
      <c r="A3" t="s">
        <v>26</v>
      </c>
      <c r="B3" t="s">
        <v>307</v>
      </c>
      <c r="C3" t="s">
        <v>308</v>
      </c>
      <c r="D3" t="s">
        <v>309</v>
      </c>
      <c r="E3" t="s">
        <v>310</v>
      </c>
      <c r="F3" t="s">
        <v>311</v>
      </c>
      <c r="G3" t="s">
        <v>312</v>
      </c>
      <c r="H3" t="s">
        <v>313</v>
      </c>
      <c r="I3" t="s">
        <v>310</v>
      </c>
    </row>
    <row r="4" spans="1:16">
      <c r="A4" t="s">
        <v>15</v>
      </c>
      <c r="B4" t="s">
        <v>314</v>
      </c>
      <c r="C4" t="s">
        <v>315</v>
      </c>
      <c r="D4" t="s">
        <v>316</v>
      </c>
      <c r="E4" t="s">
        <v>317</v>
      </c>
      <c r="F4" t="s">
        <v>318</v>
      </c>
      <c r="G4" t="s">
        <v>319</v>
      </c>
      <c r="H4" t="s">
        <v>320</v>
      </c>
      <c r="I4" t="s">
        <v>317</v>
      </c>
      <c r="P4">
        <v>1</v>
      </c>
    </row>
    <row r="5" spans="1:16">
      <c r="A5" t="s">
        <v>6</v>
      </c>
      <c r="B5" t="s">
        <v>321</v>
      </c>
      <c r="C5" t="s">
        <v>322</v>
      </c>
      <c r="D5" t="s">
        <v>323</v>
      </c>
      <c r="E5" t="s">
        <v>324</v>
      </c>
      <c r="F5" t="s">
        <v>325</v>
      </c>
      <c r="G5" t="s">
        <v>326</v>
      </c>
      <c r="H5" t="s">
        <v>327</v>
      </c>
      <c r="I5" t="s">
        <v>328</v>
      </c>
    </row>
    <row r="6" spans="1:16">
      <c r="A6" t="s">
        <v>16</v>
      </c>
      <c r="B6" t="s">
        <v>329</v>
      </c>
      <c r="C6" t="s">
        <v>330</v>
      </c>
      <c r="D6" t="s">
        <v>331</v>
      </c>
      <c r="E6" t="s">
        <v>332</v>
      </c>
      <c r="F6" t="s">
        <v>333</v>
      </c>
      <c r="G6" t="s">
        <v>334</v>
      </c>
      <c r="H6" t="s">
        <v>335</v>
      </c>
      <c r="I6" t="s">
        <v>336</v>
      </c>
    </row>
    <row r="7" spans="1:16">
      <c r="A7" t="s">
        <v>7</v>
      </c>
      <c r="B7" t="s">
        <v>337</v>
      </c>
      <c r="C7" t="s">
        <v>338</v>
      </c>
      <c r="D7" t="s">
        <v>339</v>
      </c>
      <c r="E7" t="s">
        <v>340</v>
      </c>
      <c r="F7" t="s">
        <v>341</v>
      </c>
      <c r="G7" t="s">
        <v>342</v>
      </c>
      <c r="H7" t="s">
        <v>343</v>
      </c>
      <c r="I7" t="s">
        <v>340</v>
      </c>
    </row>
    <row r="8" spans="1:16">
      <c r="A8" t="s">
        <v>344</v>
      </c>
      <c r="B8" t="s">
        <v>345</v>
      </c>
      <c r="C8" t="s">
        <v>346</v>
      </c>
      <c r="D8" t="s">
        <v>347</v>
      </c>
      <c r="E8" t="s">
        <v>348</v>
      </c>
      <c r="F8" t="s">
        <v>349</v>
      </c>
      <c r="G8" t="s">
        <v>350</v>
      </c>
      <c r="H8" t="s">
        <v>351</v>
      </c>
      <c r="I8" t="s">
        <v>352</v>
      </c>
    </row>
    <row r="9" spans="1:16">
      <c r="A9" t="s">
        <v>353</v>
      </c>
      <c r="B9" t="s">
        <v>354</v>
      </c>
      <c r="C9" t="s">
        <v>355</v>
      </c>
      <c r="D9" t="s">
        <v>356</v>
      </c>
      <c r="E9" t="s">
        <v>357</v>
      </c>
      <c r="F9" t="s">
        <v>358</v>
      </c>
      <c r="G9" t="s">
        <v>359</v>
      </c>
      <c r="H9" t="s">
        <v>360</v>
      </c>
      <c r="I9" t="s">
        <v>358</v>
      </c>
    </row>
    <row r="10" spans="1:16">
      <c r="A10" t="s">
        <v>361</v>
      </c>
      <c r="B10" t="s">
        <v>362</v>
      </c>
      <c r="C10" t="s">
        <v>363</v>
      </c>
      <c r="D10" t="s">
        <v>364</v>
      </c>
      <c r="E10" t="s">
        <v>365</v>
      </c>
      <c r="F10" t="s">
        <v>366</v>
      </c>
      <c r="G10" t="s">
        <v>367</v>
      </c>
      <c r="H10" t="s">
        <v>368</v>
      </c>
      <c r="I10" t="s">
        <v>369</v>
      </c>
    </row>
    <row r="11" spans="1:16">
      <c r="A11" t="s">
        <v>370</v>
      </c>
      <c r="B11" t="s">
        <v>371</v>
      </c>
      <c r="C11" t="s">
        <v>370</v>
      </c>
      <c r="D11" t="s">
        <v>372</v>
      </c>
      <c r="E11" t="s">
        <v>373</v>
      </c>
      <c r="F11" t="s">
        <v>370</v>
      </c>
      <c r="G11" t="s">
        <v>370</v>
      </c>
      <c r="H11" t="s">
        <v>374</v>
      </c>
      <c r="I11" t="s">
        <v>370</v>
      </c>
    </row>
    <row r="12" spans="1:16">
      <c r="A12" t="s">
        <v>375</v>
      </c>
      <c r="B12" t="s">
        <v>376</v>
      </c>
      <c r="C12" t="s">
        <v>377</v>
      </c>
      <c r="D12" t="s">
        <v>378</v>
      </c>
      <c r="E12" t="s">
        <v>379</v>
      </c>
      <c r="F12" t="s">
        <v>380</v>
      </c>
      <c r="G12" t="s">
        <v>381</v>
      </c>
      <c r="H12" t="s">
        <v>382</v>
      </c>
      <c r="I12" t="s">
        <v>383</v>
      </c>
    </row>
    <row r="13" spans="1:16">
      <c r="A13" t="s">
        <v>384</v>
      </c>
      <c r="B13" t="s">
        <v>385</v>
      </c>
      <c r="C13" t="s">
        <v>386</v>
      </c>
      <c r="D13" t="s">
        <v>387</v>
      </c>
      <c r="E13" t="s">
        <v>384</v>
      </c>
      <c r="F13" t="s">
        <v>384</v>
      </c>
      <c r="G13" t="s">
        <v>388</v>
      </c>
      <c r="H13" t="s">
        <v>389</v>
      </c>
      <c r="I13" t="s">
        <v>390</v>
      </c>
    </row>
    <row r="14" spans="1:16">
      <c r="A14" t="s">
        <v>391</v>
      </c>
      <c r="B14" t="s">
        <v>392</v>
      </c>
      <c r="C14" t="s">
        <v>393</v>
      </c>
      <c r="D14" t="s">
        <v>394</v>
      </c>
      <c r="E14" t="s">
        <v>395</v>
      </c>
      <c r="F14" t="s">
        <v>396</v>
      </c>
      <c r="G14" t="s">
        <v>397</v>
      </c>
      <c r="H14" t="s">
        <v>398</v>
      </c>
      <c r="I14" t="s">
        <v>399</v>
      </c>
    </row>
    <row r="15" spans="1:16">
      <c r="A15" t="s">
        <v>400</v>
      </c>
      <c r="B15" t="s">
        <v>401</v>
      </c>
      <c r="C15" t="s">
        <v>402</v>
      </c>
      <c r="D15" t="s">
        <v>400</v>
      </c>
      <c r="E15" t="s">
        <v>400</v>
      </c>
      <c r="F15" t="s">
        <v>400</v>
      </c>
      <c r="G15" t="s">
        <v>400</v>
      </c>
      <c r="H15" t="s">
        <v>403</v>
      </c>
      <c r="I15" t="s">
        <v>404</v>
      </c>
    </row>
    <row r="16" spans="1:16">
      <c r="A16" t="s">
        <v>405</v>
      </c>
      <c r="B16" t="s">
        <v>406</v>
      </c>
      <c r="C16" t="s">
        <v>407</v>
      </c>
      <c r="D16" t="s">
        <v>408</v>
      </c>
      <c r="E16" t="s">
        <v>409</v>
      </c>
      <c r="F16" t="s">
        <v>410</v>
      </c>
      <c r="G16" t="s">
        <v>411</v>
      </c>
      <c r="H16" t="s">
        <v>412</v>
      </c>
      <c r="I16" t="s">
        <v>413</v>
      </c>
    </row>
    <row r="17" spans="1:9">
      <c r="A17" t="s">
        <v>414</v>
      </c>
      <c r="B17" t="s">
        <v>415</v>
      </c>
      <c r="C17" t="s">
        <v>416</v>
      </c>
      <c r="D17" t="s">
        <v>417</v>
      </c>
      <c r="E17" t="s">
        <v>418</v>
      </c>
      <c r="F17" t="s">
        <v>414</v>
      </c>
      <c r="G17" t="s">
        <v>419</v>
      </c>
      <c r="H17" t="s">
        <v>420</v>
      </c>
      <c r="I17" t="s">
        <v>414</v>
      </c>
    </row>
    <row r="18" spans="1:9">
      <c r="A18" t="s">
        <v>12</v>
      </c>
      <c r="B18" t="s">
        <v>421</v>
      </c>
      <c r="C18" t="s">
        <v>422</v>
      </c>
      <c r="D18" t="s">
        <v>423</v>
      </c>
      <c r="E18" t="s">
        <v>424</v>
      </c>
      <c r="F18" t="s">
        <v>425</v>
      </c>
      <c r="G18" t="s">
        <v>426</v>
      </c>
      <c r="H18" t="s">
        <v>427</v>
      </c>
      <c r="I18" t="s">
        <v>428</v>
      </c>
    </row>
    <row r="19" spans="1:9">
      <c r="A19" t="s">
        <v>429</v>
      </c>
      <c r="B19" t="s">
        <v>430</v>
      </c>
      <c r="C19" t="s">
        <v>431</v>
      </c>
      <c r="D19" t="s">
        <v>432</v>
      </c>
      <c r="E19" t="s">
        <v>433</v>
      </c>
      <c r="F19" t="s">
        <v>429</v>
      </c>
      <c r="G19" t="s">
        <v>429</v>
      </c>
      <c r="H19" t="s">
        <v>434</v>
      </c>
      <c r="I19" t="s">
        <v>429</v>
      </c>
    </row>
    <row r="20" spans="1:9">
      <c r="A20" t="s">
        <v>435</v>
      </c>
      <c r="B20" t="s">
        <v>436</v>
      </c>
      <c r="C20" t="s">
        <v>437</v>
      </c>
      <c r="D20" t="s">
        <v>438</v>
      </c>
      <c r="E20" t="s">
        <v>439</v>
      </c>
      <c r="F20" t="s">
        <v>440</v>
      </c>
      <c r="G20" t="s">
        <v>441</v>
      </c>
      <c r="H20" t="s">
        <v>442</v>
      </c>
      <c r="I20" t="s">
        <v>443</v>
      </c>
    </row>
    <row r="21" spans="1:9">
      <c r="A21" t="s">
        <v>444</v>
      </c>
      <c r="B21" t="s">
        <v>445</v>
      </c>
      <c r="C21" t="s">
        <v>446</v>
      </c>
      <c r="D21" t="s">
        <v>447</v>
      </c>
      <c r="E21" t="s">
        <v>448</v>
      </c>
      <c r="F21" t="s">
        <v>449</v>
      </c>
      <c r="G21" t="s">
        <v>450</v>
      </c>
      <c r="H21" t="s">
        <v>451</v>
      </c>
      <c r="I21" t="s">
        <v>452</v>
      </c>
    </row>
    <row r="22" spans="1:9">
      <c r="A22" t="s">
        <v>453</v>
      </c>
      <c r="B22" t="s">
        <v>454</v>
      </c>
      <c r="C22" t="s">
        <v>455</v>
      </c>
      <c r="D22" t="s">
        <v>456</v>
      </c>
      <c r="E22" t="s">
        <v>457</v>
      </c>
      <c r="F22" t="s">
        <v>458</v>
      </c>
      <c r="G22" t="s">
        <v>459</v>
      </c>
      <c r="H22" t="s">
        <v>460</v>
      </c>
      <c r="I22" t="s">
        <v>461</v>
      </c>
    </row>
    <row r="23" spans="1:9">
      <c r="A23" t="s">
        <v>462</v>
      </c>
      <c r="B23" t="s">
        <v>462</v>
      </c>
      <c r="C23" t="s">
        <v>462</v>
      </c>
      <c r="D23" t="s">
        <v>462</v>
      </c>
      <c r="E23" t="s">
        <v>462</v>
      </c>
      <c r="F23" t="s">
        <v>462</v>
      </c>
      <c r="G23" t="s">
        <v>462</v>
      </c>
      <c r="H23" t="s">
        <v>462</v>
      </c>
      <c r="I23" t="s">
        <v>462</v>
      </c>
    </row>
    <row r="24" spans="1:9">
      <c r="A24" t="s">
        <v>463</v>
      </c>
      <c r="B24" t="s">
        <v>464</v>
      </c>
      <c r="C24" t="s">
        <v>465</v>
      </c>
      <c r="D24" t="s">
        <v>466</v>
      </c>
      <c r="E24" t="s">
        <v>467</v>
      </c>
      <c r="F24" t="s">
        <v>468</v>
      </c>
      <c r="G24" t="s">
        <v>469</v>
      </c>
      <c r="H24" t="s">
        <v>470</v>
      </c>
      <c r="I24" t="s">
        <v>471</v>
      </c>
    </row>
    <row r="25" spans="1:9">
      <c r="A25" t="s">
        <v>472</v>
      </c>
      <c r="B25" t="s">
        <v>473</v>
      </c>
      <c r="C25" t="s">
        <v>474</v>
      </c>
      <c r="D25" t="s">
        <v>475</v>
      </c>
      <c r="E25" t="s">
        <v>476</v>
      </c>
      <c r="F25" t="s">
        <v>472</v>
      </c>
      <c r="G25" t="s">
        <v>477</v>
      </c>
      <c r="H25" t="s">
        <v>478</v>
      </c>
      <c r="I25" t="s">
        <v>479</v>
      </c>
    </row>
    <row r="26" spans="1:9">
      <c r="A26" t="s">
        <v>480</v>
      </c>
      <c r="B26" t="s">
        <v>481</v>
      </c>
      <c r="C26" t="s">
        <v>482</v>
      </c>
      <c r="D26" t="s">
        <v>483</v>
      </c>
      <c r="E26" t="s">
        <v>484</v>
      </c>
      <c r="F26" t="s">
        <v>485</v>
      </c>
      <c r="G26" t="s">
        <v>486</v>
      </c>
      <c r="H26" t="s">
        <v>487</v>
      </c>
      <c r="I26" t="s">
        <v>484</v>
      </c>
    </row>
    <row r="27" spans="1:9">
      <c r="A27" t="s">
        <v>488</v>
      </c>
      <c r="B27" t="s">
        <v>489</v>
      </c>
      <c r="C27" t="s">
        <v>490</v>
      </c>
      <c r="D27" t="s">
        <v>491</v>
      </c>
      <c r="E27" t="s">
        <v>492</v>
      </c>
      <c r="F27" t="s">
        <v>493</v>
      </c>
      <c r="G27" t="s">
        <v>494</v>
      </c>
      <c r="H27" t="s">
        <v>495</v>
      </c>
      <c r="I27" t="s">
        <v>496</v>
      </c>
    </row>
    <row r="28" spans="1:9">
      <c r="A28" t="s">
        <v>497</v>
      </c>
      <c r="B28" t="s">
        <v>498</v>
      </c>
      <c r="C28" t="s">
        <v>499</v>
      </c>
      <c r="D28" t="s">
        <v>500</v>
      </c>
      <c r="E28" t="s">
        <v>501</v>
      </c>
      <c r="F28" t="s">
        <v>502</v>
      </c>
      <c r="G28" t="s">
        <v>503</v>
      </c>
      <c r="H28" t="s">
        <v>504</v>
      </c>
      <c r="I28" t="s">
        <v>505</v>
      </c>
    </row>
    <row r="29" spans="1:9">
      <c r="A29" t="s">
        <v>10</v>
      </c>
      <c r="B29" t="s">
        <v>506</v>
      </c>
      <c r="C29" t="s">
        <v>507</v>
      </c>
      <c r="D29" t="s">
        <v>508</v>
      </c>
      <c r="E29" t="s">
        <v>509</v>
      </c>
      <c r="F29" t="s">
        <v>510</v>
      </c>
      <c r="G29" t="s">
        <v>511</v>
      </c>
      <c r="H29" t="s">
        <v>512</v>
      </c>
      <c r="I29" t="s">
        <v>513</v>
      </c>
    </row>
    <row r="30" spans="1:9">
      <c r="A30" t="s">
        <v>95</v>
      </c>
      <c r="B30" t="s">
        <v>514</v>
      </c>
      <c r="C30" t="s">
        <v>515</v>
      </c>
      <c r="D30" t="s">
        <v>516</v>
      </c>
      <c r="E30" t="s">
        <v>517</v>
      </c>
      <c r="F30" t="s">
        <v>518</v>
      </c>
      <c r="G30" t="s">
        <v>519</v>
      </c>
      <c r="H30" t="s">
        <v>520</v>
      </c>
      <c r="I30" t="s">
        <v>521</v>
      </c>
    </row>
    <row r="31" spans="1:9">
      <c r="A31" t="s">
        <v>522</v>
      </c>
      <c r="B31" t="s">
        <v>523</v>
      </c>
      <c r="C31" t="s">
        <v>522</v>
      </c>
      <c r="D31" t="s">
        <v>524</v>
      </c>
      <c r="E31" t="s">
        <v>525</v>
      </c>
      <c r="F31" t="s">
        <v>522</v>
      </c>
      <c r="G31" t="s">
        <v>526</v>
      </c>
      <c r="H31" t="s">
        <v>527</v>
      </c>
      <c r="I31" t="s">
        <v>522</v>
      </c>
    </row>
    <row r="32" spans="1:9">
      <c r="A32" t="s">
        <v>3</v>
      </c>
      <c r="B32" t="s">
        <v>528</v>
      </c>
      <c r="C32" t="s">
        <v>529</v>
      </c>
      <c r="D32" t="s">
        <v>530</v>
      </c>
      <c r="E32" t="s">
        <v>531</v>
      </c>
      <c r="F32" t="s">
        <v>3</v>
      </c>
      <c r="G32" t="s">
        <v>3</v>
      </c>
      <c r="H32" t="s">
        <v>532</v>
      </c>
      <c r="I32" t="s">
        <v>533</v>
      </c>
    </row>
    <row r="33" spans="1:9">
      <c r="A33" t="s">
        <v>5</v>
      </c>
      <c r="B33" t="s">
        <v>534</v>
      </c>
      <c r="C33" t="s">
        <v>535</v>
      </c>
      <c r="D33" t="s">
        <v>536</v>
      </c>
      <c r="E33" t="s">
        <v>5</v>
      </c>
      <c r="F33" t="s">
        <v>537</v>
      </c>
      <c r="G33" t="s">
        <v>538</v>
      </c>
      <c r="H33" t="s">
        <v>539</v>
      </c>
      <c r="I33" t="s">
        <v>540</v>
      </c>
    </row>
    <row r="34" spans="1:9">
      <c r="A34" t="s">
        <v>541</v>
      </c>
      <c r="B34" t="s">
        <v>542</v>
      </c>
      <c r="C34" t="s">
        <v>543</v>
      </c>
      <c r="D34" t="s">
        <v>544</v>
      </c>
      <c r="E34" t="s">
        <v>541</v>
      </c>
      <c r="F34" t="s">
        <v>545</v>
      </c>
      <c r="G34" t="s">
        <v>546</v>
      </c>
      <c r="H34" t="s">
        <v>547</v>
      </c>
      <c r="I34" t="s">
        <v>548</v>
      </c>
    </row>
    <row r="35" spans="1:9">
      <c r="A35" t="s">
        <v>549</v>
      </c>
      <c r="B35" t="s">
        <v>550</v>
      </c>
      <c r="C35" t="s">
        <v>551</v>
      </c>
      <c r="D35" t="s">
        <v>552</v>
      </c>
      <c r="E35" t="s">
        <v>553</v>
      </c>
      <c r="F35" t="s">
        <v>554</v>
      </c>
      <c r="G35" t="s">
        <v>555</v>
      </c>
      <c r="H35" t="s">
        <v>556</v>
      </c>
      <c r="I35" t="s">
        <v>557</v>
      </c>
    </row>
    <row r="36" spans="1:9">
      <c r="A36" t="s">
        <v>558</v>
      </c>
      <c r="B36" t="s">
        <v>559</v>
      </c>
      <c r="C36" t="s">
        <v>560</v>
      </c>
      <c r="D36" t="s">
        <v>561</v>
      </c>
      <c r="E36" t="s">
        <v>562</v>
      </c>
      <c r="F36" t="s">
        <v>563</v>
      </c>
      <c r="G36" t="s">
        <v>564</v>
      </c>
      <c r="H36" t="s">
        <v>565</v>
      </c>
      <c r="I36" t="s">
        <v>566</v>
      </c>
    </row>
    <row r="37" spans="1:9">
      <c r="A37" t="s">
        <v>567</v>
      </c>
      <c r="B37" t="s">
        <v>568</v>
      </c>
      <c r="C37" t="s">
        <v>569</v>
      </c>
      <c r="D37" t="s">
        <v>570</v>
      </c>
      <c r="E37" t="s">
        <v>571</v>
      </c>
      <c r="F37" t="s">
        <v>572</v>
      </c>
      <c r="G37" t="s">
        <v>573</v>
      </c>
      <c r="H37" t="s">
        <v>574</v>
      </c>
      <c r="I37" t="s">
        <v>571</v>
      </c>
    </row>
    <row r="38" spans="1:9">
      <c r="A38" t="s">
        <v>575</v>
      </c>
      <c r="B38" t="s">
        <v>576</v>
      </c>
      <c r="C38" t="s">
        <v>577</v>
      </c>
      <c r="D38" t="s">
        <v>578</v>
      </c>
      <c r="E38" t="s">
        <v>579</v>
      </c>
      <c r="F38" t="s">
        <v>580</v>
      </c>
      <c r="G38" t="s">
        <v>581</v>
      </c>
      <c r="H38" t="s">
        <v>582</v>
      </c>
      <c r="I38" t="s">
        <v>583</v>
      </c>
    </row>
    <row r="39" spans="1:9">
      <c r="A39" t="s">
        <v>584</v>
      </c>
      <c r="B39" t="s">
        <v>585</v>
      </c>
      <c r="C39" t="s">
        <v>586</v>
      </c>
      <c r="D39" t="s">
        <v>587</v>
      </c>
      <c r="E39" t="s">
        <v>588</v>
      </c>
      <c r="F39" t="s">
        <v>589</v>
      </c>
      <c r="G39" t="s">
        <v>590</v>
      </c>
      <c r="H39" t="s">
        <v>591</v>
      </c>
      <c r="I39" t="s">
        <v>592</v>
      </c>
    </row>
    <row r="40" spans="1:9">
      <c r="A40" t="s">
        <v>593</v>
      </c>
      <c r="B40" t="s">
        <v>594</v>
      </c>
      <c r="C40" t="s">
        <v>595</v>
      </c>
      <c r="D40" t="s">
        <v>596</v>
      </c>
      <c r="E40" t="s">
        <v>597</v>
      </c>
      <c r="F40" t="s">
        <v>598</v>
      </c>
      <c r="G40" t="s">
        <v>599</v>
      </c>
      <c r="H40" t="s">
        <v>600</v>
      </c>
      <c r="I40" t="s">
        <v>601</v>
      </c>
    </row>
    <row r="41" spans="1:9">
      <c r="A41" t="s">
        <v>602</v>
      </c>
      <c r="B41" t="s">
        <v>603</v>
      </c>
      <c r="C41" t="s">
        <v>604</v>
      </c>
      <c r="D41" t="s">
        <v>605</v>
      </c>
      <c r="E41" t="s">
        <v>606</v>
      </c>
      <c r="F41" t="s">
        <v>607</v>
      </c>
      <c r="G41" t="s">
        <v>608</v>
      </c>
      <c r="H41" t="s">
        <v>609</v>
      </c>
      <c r="I41" t="s">
        <v>610</v>
      </c>
    </row>
    <row r="42" spans="1:9">
      <c r="A42" t="s">
        <v>611</v>
      </c>
      <c r="B42" t="s">
        <v>612</v>
      </c>
      <c r="C42" t="s">
        <v>613</v>
      </c>
      <c r="D42" t="s">
        <v>614</v>
      </c>
      <c r="E42" t="s">
        <v>615</v>
      </c>
      <c r="F42" t="s">
        <v>616</v>
      </c>
      <c r="G42" t="s">
        <v>617</v>
      </c>
      <c r="H42" t="s">
        <v>618</v>
      </c>
      <c r="I42" t="s">
        <v>619</v>
      </c>
    </row>
    <row r="43" spans="1:9">
      <c r="A43" t="s">
        <v>620</v>
      </c>
      <c r="B43" t="s">
        <v>621</v>
      </c>
      <c r="C43" t="s">
        <v>622</v>
      </c>
      <c r="D43" t="s">
        <v>623</v>
      </c>
      <c r="E43" t="s">
        <v>624</v>
      </c>
      <c r="F43" t="s">
        <v>625</v>
      </c>
      <c r="G43" t="s">
        <v>626</v>
      </c>
      <c r="H43" t="s">
        <v>627</v>
      </c>
      <c r="I43" t="s">
        <v>628</v>
      </c>
    </row>
    <row r="44" spans="1:9">
      <c r="A44" t="s">
        <v>629</v>
      </c>
      <c r="B44" t="s">
        <v>630</v>
      </c>
      <c r="C44" t="s">
        <v>631</v>
      </c>
      <c r="D44" t="s">
        <v>632</v>
      </c>
      <c r="E44" t="s">
        <v>633</v>
      </c>
      <c r="F44" t="s">
        <v>634</v>
      </c>
      <c r="G44" t="s">
        <v>635</v>
      </c>
      <c r="H44" t="s">
        <v>636</v>
      </c>
      <c r="I44" t="s">
        <v>637</v>
      </c>
    </row>
    <row r="45" spans="1:9">
      <c r="A45" t="s">
        <v>638</v>
      </c>
      <c r="B45" t="s">
        <v>639</v>
      </c>
      <c r="C45" t="s">
        <v>640</v>
      </c>
      <c r="D45" t="s">
        <v>641</v>
      </c>
      <c r="E45" t="s">
        <v>642</v>
      </c>
      <c r="F45" t="s">
        <v>643</v>
      </c>
      <c r="G45" t="s">
        <v>644</v>
      </c>
      <c r="H45" t="s">
        <v>645</v>
      </c>
      <c r="I45" t="s">
        <v>646</v>
      </c>
    </row>
    <row r="46" spans="1:9">
      <c r="A46" t="s">
        <v>647</v>
      </c>
      <c r="B46" t="s">
        <v>648</v>
      </c>
      <c r="C46" t="s">
        <v>649</v>
      </c>
      <c r="D46" t="s">
        <v>650</v>
      </c>
      <c r="E46" t="s">
        <v>651</v>
      </c>
      <c r="F46" t="s">
        <v>652</v>
      </c>
      <c r="G46" t="s">
        <v>653</v>
      </c>
      <c r="H46" t="s">
        <v>654</v>
      </c>
      <c r="I46" t="s">
        <v>655</v>
      </c>
    </row>
    <row r="47" spans="1:9">
      <c r="A47" t="s">
        <v>656</v>
      </c>
      <c r="B47" t="s">
        <v>657</v>
      </c>
      <c r="C47" t="s">
        <v>622</v>
      </c>
      <c r="D47" t="s">
        <v>623</v>
      </c>
      <c r="E47" t="s">
        <v>658</v>
      </c>
      <c r="F47" t="s">
        <v>625</v>
      </c>
      <c r="G47" t="s">
        <v>659</v>
      </c>
      <c r="H47" t="s">
        <v>627</v>
      </c>
      <c r="I47" t="s">
        <v>660</v>
      </c>
    </row>
    <row r="48" spans="1:9">
      <c r="A48" t="s">
        <v>661</v>
      </c>
      <c r="B48" t="s">
        <v>662</v>
      </c>
      <c r="C48" t="s">
        <v>663</v>
      </c>
      <c r="D48" t="s">
        <v>664</v>
      </c>
      <c r="E48" t="s">
        <v>665</v>
      </c>
      <c r="F48" t="s">
        <v>666</v>
      </c>
      <c r="G48" t="s">
        <v>667</v>
      </c>
      <c r="H48" t="s">
        <v>668</v>
      </c>
      <c r="I48" t="s">
        <v>669</v>
      </c>
    </row>
    <row r="49" spans="1:9">
      <c r="A49" t="s">
        <v>670</v>
      </c>
      <c r="B49" t="s">
        <v>671</v>
      </c>
      <c r="C49" t="s">
        <v>672</v>
      </c>
      <c r="D49" t="s">
        <v>673</v>
      </c>
      <c r="E49" t="s">
        <v>674</v>
      </c>
      <c r="F49" t="s">
        <v>675</v>
      </c>
      <c r="G49" t="s">
        <v>676</v>
      </c>
      <c r="H49" t="s">
        <v>677</v>
      </c>
      <c r="I49" t="s">
        <v>678</v>
      </c>
    </row>
    <row r="50" spans="1:9">
      <c r="A50" t="s">
        <v>679</v>
      </c>
      <c r="B50" t="s">
        <v>680</v>
      </c>
      <c r="C50" t="s">
        <v>681</v>
      </c>
      <c r="D50" t="s">
        <v>682</v>
      </c>
      <c r="E50" t="s">
        <v>683</v>
      </c>
      <c r="F50" t="s">
        <v>684</v>
      </c>
      <c r="G50" t="s">
        <v>685</v>
      </c>
      <c r="H50" t="s">
        <v>686</v>
      </c>
      <c r="I50" t="s">
        <v>687</v>
      </c>
    </row>
    <row r="51" spans="1:9">
      <c r="A51" t="s">
        <v>688</v>
      </c>
      <c r="B51" t="s">
        <v>689</v>
      </c>
      <c r="C51" t="s">
        <v>690</v>
      </c>
      <c r="D51" t="s">
        <v>691</v>
      </c>
      <c r="E51" t="s">
        <v>340</v>
      </c>
      <c r="F51" t="s">
        <v>692</v>
      </c>
      <c r="G51" t="s">
        <v>693</v>
      </c>
      <c r="H51" t="s">
        <v>694</v>
      </c>
      <c r="I51" t="s">
        <v>695</v>
      </c>
    </row>
    <row r="52" spans="1:9">
      <c r="A52" t="s">
        <v>696</v>
      </c>
      <c r="B52" t="s">
        <v>697</v>
      </c>
      <c r="C52" t="s">
        <v>698</v>
      </c>
      <c r="D52" t="s">
        <v>699</v>
      </c>
      <c r="E52" t="s">
        <v>700</v>
      </c>
      <c r="F52" t="s">
        <v>701</v>
      </c>
      <c r="G52" t="s">
        <v>702</v>
      </c>
      <c r="H52" t="s">
        <v>703</v>
      </c>
      <c r="I52" t="s">
        <v>704</v>
      </c>
    </row>
    <row r="53" spans="1:9">
      <c r="A53" t="s">
        <v>705</v>
      </c>
      <c r="B53" t="s">
        <v>706</v>
      </c>
      <c r="C53" t="s">
        <v>707</v>
      </c>
      <c r="D53" t="s">
        <v>708</v>
      </c>
      <c r="E53" t="s">
        <v>709</v>
      </c>
      <c r="F53" t="s">
        <v>705</v>
      </c>
      <c r="G53" t="s">
        <v>705</v>
      </c>
      <c r="H53" t="s">
        <v>710</v>
      </c>
      <c r="I53" t="s">
        <v>711</v>
      </c>
    </row>
    <row r="54" spans="1:9">
      <c r="A54" t="s">
        <v>712</v>
      </c>
      <c r="B54" t="s">
        <v>713</v>
      </c>
      <c r="C54" t="s">
        <v>714</v>
      </c>
      <c r="D54" t="s">
        <v>715</v>
      </c>
      <c r="E54" t="s">
        <v>716</v>
      </c>
      <c r="F54" t="s">
        <v>717</v>
      </c>
      <c r="G54" t="s">
        <v>718</v>
      </c>
      <c r="H54" t="s">
        <v>719</v>
      </c>
      <c r="I54" t="s">
        <v>720</v>
      </c>
    </row>
    <row r="55" spans="1:9">
      <c r="A55" t="s">
        <v>721</v>
      </c>
      <c r="B55" t="s">
        <v>722</v>
      </c>
      <c r="C55" t="s">
        <v>723</v>
      </c>
      <c r="D55" t="s">
        <v>724</v>
      </c>
      <c r="E55" t="s">
        <v>725</v>
      </c>
      <c r="F55" t="s">
        <v>721</v>
      </c>
      <c r="G55" t="s">
        <v>721</v>
      </c>
      <c r="H55" t="s">
        <v>726</v>
      </c>
      <c r="I55" t="s">
        <v>721</v>
      </c>
    </row>
    <row r="56" spans="1:9">
      <c r="A56" t="s">
        <v>727</v>
      </c>
      <c r="B56" t="s">
        <v>728</v>
      </c>
      <c r="C56" t="s">
        <v>729</v>
      </c>
      <c r="D56" t="s">
        <v>730</v>
      </c>
      <c r="E56" t="s">
        <v>731</v>
      </c>
      <c r="F56" t="s">
        <v>732</v>
      </c>
      <c r="G56" t="s">
        <v>733</v>
      </c>
      <c r="H56" t="s">
        <v>734</v>
      </c>
      <c r="I56" t="s">
        <v>735</v>
      </c>
    </row>
    <row r="57" spans="1:9">
      <c r="A57" t="s">
        <v>736</v>
      </c>
      <c r="B57" t="s">
        <v>737</v>
      </c>
      <c r="C57" t="s">
        <v>738</v>
      </c>
      <c r="D57" t="s">
        <v>739</v>
      </c>
      <c r="E57" t="s">
        <v>740</v>
      </c>
      <c r="F57" t="s">
        <v>741</v>
      </c>
      <c r="G57" t="s">
        <v>742</v>
      </c>
      <c r="H57" t="s">
        <v>743</v>
      </c>
      <c r="I57" t="s">
        <v>744</v>
      </c>
    </row>
    <row r="58" spans="1:9">
      <c r="A58" t="s">
        <v>745</v>
      </c>
      <c r="B58" t="s">
        <v>307</v>
      </c>
      <c r="C58" t="s">
        <v>308</v>
      </c>
      <c r="D58" t="s">
        <v>309</v>
      </c>
      <c r="E58" t="s">
        <v>310</v>
      </c>
      <c r="F58" t="s">
        <v>746</v>
      </c>
      <c r="G58" t="s">
        <v>312</v>
      </c>
      <c r="H58" t="s">
        <v>313</v>
      </c>
      <c r="I58" t="s">
        <v>310</v>
      </c>
    </row>
    <row r="59" spans="1:9">
      <c r="A59" t="s">
        <v>747</v>
      </c>
      <c r="B59" t="s">
        <v>748</v>
      </c>
      <c r="C59" t="s">
        <v>749</v>
      </c>
      <c r="D59" t="s">
        <v>750</v>
      </c>
      <c r="E59" t="s">
        <v>751</v>
      </c>
      <c r="F59" t="s">
        <v>752</v>
      </c>
      <c r="G59" t="s">
        <v>753</v>
      </c>
      <c r="H59" t="s">
        <v>754</v>
      </c>
      <c r="I59" t="s">
        <v>755</v>
      </c>
    </row>
    <row r="60" spans="1:9">
      <c r="A60" t="s">
        <v>756</v>
      </c>
      <c r="B60" t="s">
        <v>757</v>
      </c>
      <c r="C60" t="s">
        <v>756</v>
      </c>
      <c r="D60" t="s">
        <v>758</v>
      </c>
      <c r="E60" t="s">
        <v>759</v>
      </c>
      <c r="F60" t="s">
        <v>756</v>
      </c>
      <c r="G60" t="s">
        <v>756</v>
      </c>
      <c r="H60" t="s">
        <v>756</v>
      </c>
      <c r="I60" t="s">
        <v>756</v>
      </c>
    </row>
    <row r="61" spans="1:9">
      <c r="A61" t="s">
        <v>760</v>
      </c>
      <c r="B61" t="s">
        <v>761</v>
      </c>
      <c r="C61" t="s">
        <v>762</v>
      </c>
      <c r="D61" t="s">
        <v>763</v>
      </c>
      <c r="E61" t="s">
        <v>764</v>
      </c>
      <c r="F61" t="s">
        <v>765</v>
      </c>
      <c r="G61" t="s">
        <v>766</v>
      </c>
      <c r="H61" t="s">
        <v>767</v>
      </c>
      <c r="I61" t="s">
        <v>768</v>
      </c>
    </row>
    <row r="62" spans="1:9">
      <c r="A62" t="s">
        <v>769</v>
      </c>
      <c r="B62" t="s">
        <v>770</v>
      </c>
      <c r="C62" t="s">
        <v>771</v>
      </c>
      <c r="D62" t="s">
        <v>772</v>
      </c>
      <c r="E62" t="s">
        <v>773</v>
      </c>
      <c r="F62" t="s">
        <v>769</v>
      </c>
      <c r="G62" t="s">
        <v>769</v>
      </c>
      <c r="H62" t="s">
        <v>774</v>
      </c>
      <c r="I62" t="s">
        <v>775</v>
      </c>
    </row>
    <row r="63" spans="1:9">
      <c r="A63" t="s">
        <v>776</v>
      </c>
      <c r="B63" t="s">
        <v>777</v>
      </c>
      <c r="C63" t="s">
        <v>776</v>
      </c>
      <c r="D63" t="s">
        <v>778</v>
      </c>
      <c r="E63" t="s">
        <v>779</v>
      </c>
      <c r="F63" t="s">
        <v>776</v>
      </c>
      <c r="G63" t="s">
        <v>776</v>
      </c>
      <c r="H63" t="s">
        <v>780</v>
      </c>
      <c r="I63" t="s">
        <v>776</v>
      </c>
    </row>
    <row r="64" spans="1:9">
      <c r="A64" t="s">
        <v>781</v>
      </c>
      <c r="B64" t="s">
        <v>782</v>
      </c>
      <c r="C64" t="s">
        <v>783</v>
      </c>
      <c r="D64" t="s">
        <v>781</v>
      </c>
      <c r="E64" t="s">
        <v>784</v>
      </c>
      <c r="F64" t="s">
        <v>781</v>
      </c>
      <c r="G64" t="s">
        <v>781</v>
      </c>
      <c r="H64" t="s">
        <v>785</v>
      </c>
      <c r="I64" t="s">
        <v>781</v>
      </c>
    </row>
    <row r="65" spans="1:9">
      <c r="A65" t="s">
        <v>786</v>
      </c>
      <c r="B65" t="s">
        <v>787</v>
      </c>
      <c r="C65" t="s">
        <v>788</v>
      </c>
      <c r="D65" t="s">
        <v>789</v>
      </c>
      <c r="E65" t="s">
        <v>790</v>
      </c>
      <c r="F65" t="s">
        <v>791</v>
      </c>
      <c r="G65" t="s">
        <v>792</v>
      </c>
      <c r="H65" t="s">
        <v>793</v>
      </c>
      <c r="I65" t="s">
        <v>790</v>
      </c>
    </row>
    <row r="66" spans="1:9">
      <c r="A66" t="s">
        <v>794</v>
      </c>
      <c r="B66" t="s">
        <v>795</v>
      </c>
      <c r="C66" t="s">
        <v>796</v>
      </c>
      <c r="D66" t="s">
        <v>797</v>
      </c>
      <c r="E66" t="s">
        <v>798</v>
      </c>
      <c r="F66" t="s">
        <v>799</v>
      </c>
      <c r="G66" t="s">
        <v>800</v>
      </c>
      <c r="H66" t="s">
        <v>801</v>
      </c>
      <c r="I66" t="s">
        <v>802</v>
      </c>
    </row>
    <row r="67" spans="1:9">
      <c r="A67" t="s">
        <v>803</v>
      </c>
      <c r="B67" t="s">
        <v>804</v>
      </c>
      <c r="C67" t="s">
        <v>805</v>
      </c>
      <c r="D67" t="s">
        <v>806</v>
      </c>
      <c r="E67" t="s">
        <v>807</v>
      </c>
      <c r="F67" t="s">
        <v>808</v>
      </c>
      <c r="G67" t="s">
        <v>809</v>
      </c>
      <c r="H67" t="s">
        <v>810</v>
      </c>
      <c r="I67" t="s">
        <v>811</v>
      </c>
    </row>
    <row r="68" spans="1:9">
      <c r="A68" t="s">
        <v>812</v>
      </c>
      <c r="B68" t="s">
        <v>813</v>
      </c>
      <c r="C68" t="s">
        <v>814</v>
      </c>
      <c r="D68" t="s">
        <v>815</v>
      </c>
      <c r="E68" t="s">
        <v>816</v>
      </c>
      <c r="F68" t="s">
        <v>817</v>
      </c>
      <c r="G68" t="s">
        <v>818</v>
      </c>
      <c r="H68" t="s">
        <v>819</v>
      </c>
      <c r="I68" t="s">
        <v>820</v>
      </c>
    </row>
    <row r="69" spans="1:9">
      <c r="A69" t="s">
        <v>821</v>
      </c>
      <c r="B69" t="s">
        <v>822</v>
      </c>
      <c r="C69" t="s">
        <v>823</v>
      </c>
      <c r="D69" t="s">
        <v>824</v>
      </c>
      <c r="E69" t="s">
        <v>825</v>
      </c>
      <c r="F69" t="s">
        <v>821</v>
      </c>
      <c r="G69" t="s">
        <v>826</v>
      </c>
      <c r="H69" t="s">
        <v>827</v>
      </c>
      <c r="I69" t="s">
        <v>828</v>
      </c>
    </row>
    <row r="70" spans="1:9">
      <c r="A70" t="s">
        <v>829</v>
      </c>
      <c r="B70" t="s">
        <v>830</v>
      </c>
      <c r="C70" t="s">
        <v>831</v>
      </c>
      <c r="D70" t="s">
        <v>832</v>
      </c>
      <c r="E70" t="s">
        <v>833</v>
      </c>
      <c r="F70" t="s">
        <v>834</v>
      </c>
      <c r="G70" t="s">
        <v>829</v>
      </c>
      <c r="H70" t="s">
        <v>835</v>
      </c>
      <c r="I70" t="s">
        <v>836</v>
      </c>
    </row>
    <row r="71" spans="1:9">
      <c r="A71" t="s">
        <v>837</v>
      </c>
      <c r="B71" t="s">
        <v>838</v>
      </c>
      <c r="C71" t="s">
        <v>839</v>
      </c>
      <c r="D71" t="s">
        <v>840</v>
      </c>
      <c r="E71" t="s">
        <v>841</v>
      </c>
      <c r="F71" t="s">
        <v>842</v>
      </c>
      <c r="G71" t="s">
        <v>843</v>
      </c>
      <c r="H71" t="s">
        <v>844</v>
      </c>
      <c r="I71" t="s">
        <v>845</v>
      </c>
    </row>
    <row r="72" spans="1:9">
      <c r="A72" t="s">
        <v>846</v>
      </c>
      <c r="B72" t="s">
        <v>847</v>
      </c>
      <c r="C72" t="s">
        <v>848</v>
      </c>
      <c r="D72" t="s">
        <v>849</v>
      </c>
      <c r="E72" t="s">
        <v>850</v>
      </c>
      <c r="F72" t="s">
        <v>851</v>
      </c>
      <c r="G72" t="s">
        <v>846</v>
      </c>
      <c r="H72" t="s">
        <v>852</v>
      </c>
      <c r="I72" t="s">
        <v>853</v>
      </c>
    </row>
    <row r="73" spans="1:9">
      <c r="A73" t="s">
        <v>854</v>
      </c>
      <c r="B73" t="s">
        <v>855</v>
      </c>
      <c r="C73" t="s">
        <v>856</v>
      </c>
      <c r="D73" t="s">
        <v>857</v>
      </c>
      <c r="E73" t="s">
        <v>858</v>
      </c>
      <c r="F73" t="s">
        <v>859</v>
      </c>
      <c r="G73" t="s">
        <v>860</v>
      </c>
      <c r="H73" t="s">
        <v>861</v>
      </c>
      <c r="I73" t="s">
        <v>862</v>
      </c>
    </row>
    <row r="74" spans="1:9">
      <c r="A74" t="s">
        <v>863</v>
      </c>
      <c r="B74" t="s">
        <v>864</v>
      </c>
      <c r="C74" t="s">
        <v>865</v>
      </c>
      <c r="D74" t="s">
        <v>866</v>
      </c>
      <c r="E74" t="s">
        <v>867</v>
      </c>
      <c r="F74" t="s">
        <v>868</v>
      </c>
      <c r="G74" t="s">
        <v>869</v>
      </c>
      <c r="H74" t="s">
        <v>870</v>
      </c>
      <c r="I74" t="s">
        <v>871</v>
      </c>
    </row>
    <row r="75" spans="1:9">
      <c r="A75" t="s">
        <v>872</v>
      </c>
      <c r="B75" t="s">
        <v>873</v>
      </c>
      <c r="C75" t="s">
        <v>874</v>
      </c>
      <c r="D75" t="s">
        <v>875</v>
      </c>
      <c r="E75" t="s">
        <v>876</v>
      </c>
      <c r="F75" t="s">
        <v>877</v>
      </c>
      <c r="G75" t="s">
        <v>878</v>
      </c>
      <c r="H75" t="s">
        <v>879</v>
      </c>
      <c r="I75" t="s">
        <v>880</v>
      </c>
    </row>
    <row r="76" spans="1:9">
      <c r="A76" t="s">
        <v>881</v>
      </c>
      <c r="B76" t="s">
        <v>882</v>
      </c>
      <c r="C76" t="s">
        <v>883</v>
      </c>
      <c r="D76" t="s">
        <v>884</v>
      </c>
      <c r="E76" t="s">
        <v>885</v>
      </c>
      <c r="F76" t="s">
        <v>886</v>
      </c>
      <c r="G76" t="s">
        <v>887</v>
      </c>
      <c r="H76" t="s">
        <v>888</v>
      </c>
      <c r="I76" t="s">
        <v>889</v>
      </c>
    </row>
    <row r="77" spans="1:9">
      <c r="A77" t="s">
        <v>890</v>
      </c>
      <c r="B77" t="s">
        <v>891</v>
      </c>
      <c r="C77" t="s">
        <v>892</v>
      </c>
      <c r="D77" t="s">
        <v>893</v>
      </c>
      <c r="E77" t="s">
        <v>894</v>
      </c>
      <c r="F77" t="s">
        <v>895</v>
      </c>
      <c r="G77" t="s">
        <v>896</v>
      </c>
      <c r="H77" t="s">
        <v>897</v>
      </c>
      <c r="I77" t="s">
        <v>898</v>
      </c>
    </row>
    <row r="78" spans="1:9">
      <c r="A78" t="s">
        <v>899</v>
      </c>
      <c r="B78" t="s">
        <v>900</v>
      </c>
      <c r="C78" t="s">
        <v>901</v>
      </c>
      <c r="D78" t="s">
        <v>902</v>
      </c>
      <c r="E78" t="s">
        <v>903</v>
      </c>
      <c r="F78" t="s">
        <v>899</v>
      </c>
      <c r="G78" t="s">
        <v>904</v>
      </c>
      <c r="H78" t="s">
        <v>905</v>
      </c>
      <c r="I78" t="s">
        <v>903</v>
      </c>
    </row>
    <row r="79" spans="1:9">
      <c r="A79" t="s">
        <v>906</v>
      </c>
      <c r="B79" t="s">
        <v>907</v>
      </c>
      <c r="C79" t="s">
        <v>908</v>
      </c>
      <c r="D79" t="s">
        <v>909</v>
      </c>
      <c r="E79" t="s">
        <v>910</v>
      </c>
      <c r="F79" t="s">
        <v>911</v>
      </c>
      <c r="G79" t="s">
        <v>906</v>
      </c>
      <c r="H79" t="s">
        <v>912</v>
      </c>
      <c r="I79" t="s">
        <v>910</v>
      </c>
    </row>
    <row r="80" spans="1:9">
      <c r="A80" t="s">
        <v>913</v>
      </c>
      <c r="B80" t="s">
        <v>914</v>
      </c>
      <c r="C80" t="s">
        <v>915</v>
      </c>
      <c r="D80" t="s">
        <v>916</v>
      </c>
      <c r="E80" t="s">
        <v>917</v>
      </c>
      <c r="F80" t="s">
        <v>918</v>
      </c>
      <c r="G80" t="s">
        <v>919</v>
      </c>
      <c r="H80" t="s">
        <v>920</v>
      </c>
      <c r="I80" t="s">
        <v>921</v>
      </c>
    </row>
    <row r="81" spans="1:9">
      <c r="A81" t="s">
        <v>922</v>
      </c>
      <c r="B81" t="s">
        <v>923</v>
      </c>
      <c r="C81" t="s">
        <v>924</v>
      </c>
      <c r="D81" t="s">
        <v>925</v>
      </c>
      <c r="E81" t="s">
        <v>926</v>
      </c>
      <c r="F81" t="s">
        <v>927</v>
      </c>
      <c r="G81" t="s">
        <v>928</v>
      </c>
      <c r="H81" t="s">
        <v>929</v>
      </c>
      <c r="I81" t="s">
        <v>930</v>
      </c>
    </row>
    <row r="82" spans="1:9">
      <c r="A82" t="s">
        <v>931</v>
      </c>
      <c r="B82" t="s">
        <v>932</v>
      </c>
      <c r="C82" t="s">
        <v>933</v>
      </c>
      <c r="D82" t="s">
        <v>934</v>
      </c>
      <c r="E82" t="s">
        <v>935</v>
      </c>
      <c r="F82" t="s">
        <v>931</v>
      </c>
      <c r="G82" t="s">
        <v>936</v>
      </c>
      <c r="H82" t="s">
        <v>937</v>
      </c>
      <c r="I82" t="s">
        <v>938</v>
      </c>
    </row>
    <row r="83" spans="1:9">
      <c r="A83" t="s">
        <v>939</v>
      </c>
      <c r="B83" t="s">
        <v>940</v>
      </c>
      <c r="C83" t="s">
        <v>941</v>
      </c>
      <c r="D83" t="s">
        <v>939</v>
      </c>
      <c r="E83" t="s">
        <v>942</v>
      </c>
      <c r="F83" t="s">
        <v>939</v>
      </c>
      <c r="G83" t="s">
        <v>939</v>
      </c>
      <c r="H83" t="s">
        <v>939</v>
      </c>
      <c r="I83" t="s">
        <v>939</v>
      </c>
    </row>
    <row r="84" spans="1:9">
      <c r="A84" t="s">
        <v>943</v>
      </c>
      <c r="B84" t="s">
        <v>944</v>
      </c>
      <c r="C84" t="s">
        <v>943</v>
      </c>
      <c r="D84" t="s">
        <v>945</v>
      </c>
      <c r="E84" t="s">
        <v>946</v>
      </c>
      <c r="F84" t="s">
        <v>943</v>
      </c>
      <c r="G84" t="s">
        <v>947</v>
      </c>
      <c r="H84" t="s">
        <v>948</v>
      </c>
      <c r="I84" t="s">
        <v>943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ScenMap</vt:lpstr>
      <vt:lpstr>TS_Defs</vt:lpstr>
      <vt:lpstr>PSet_MAP coarse</vt:lpstr>
      <vt:lpstr>CSET_MAP</vt:lpstr>
      <vt:lpstr>CName_MAP</vt:lpstr>
      <vt:lpstr>varbl map</vt:lpstr>
      <vt:lpstr>process map</vt:lpstr>
      <vt:lpstr>commodity map</vt:lpstr>
      <vt:lpstr>ATS</vt:lpstr>
      <vt:lpstr>UnitConv</vt:lpstr>
      <vt:lpstr>Language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DEEPAK</cp:lastModifiedBy>
  <cp:lastPrinted>2013-04-26T17:54:26Z</cp:lastPrinted>
  <dcterms:created xsi:type="dcterms:W3CDTF">2011-02-22T06:05:52Z</dcterms:created>
  <dcterms:modified xsi:type="dcterms:W3CDTF">2023-08-03T06:17:56Z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353710353374481</vt:r8>
  </property>
</Properties>
</file>